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slicers/slicer2.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Ex2.xml" ContentType="application/vnd.ms-office.chartex+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xml" ContentType="application/vnd.openxmlformats-officedocument.drawing+xml"/>
  <Override PartName="/xl/slicers/slicer3.xml" ContentType="application/vnd.ms-excel.slicer+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4.xml" ContentType="application/vnd.openxmlformats-officedocument.drawing+xml"/>
  <Override PartName="/xl/slicers/slicer4.xml" ContentType="application/vnd.ms-excel.slicer+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5.xml" ContentType="application/vnd.openxmlformats-officedocument.drawing+xml"/>
  <Override PartName="/xl/slicers/slicer5.xml" ContentType="application/vnd.ms-excel.slicer+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6.xml" ContentType="application/vnd.openxmlformats-officedocument.drawing+xml"/>
  <Override PartName="/xl/slicers/slicer6.xml" ContentType="application/vnd.ms-excel.slicer+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kusha\OneDrive\Desktop\"/>
    </mc:Choice>
  </mc:AlternateContent>
  <xr:revisionPtr revIDLastSave="0" documentId="13_ncr:1_{4DF811DD-6020-42EE-B629-F61CB4C1B265}" xr6:coauthVersionLast="47" xr6:coauthVersionMax="47" xr10:uidLastSave="{00000000-0000-0000-0000-000000000000}"/>
  <bookViews>
    <workbookView xWindow="-108" yWindow="-108" windowWidth="23256" windowHeight="12456" activeTab="1" xr2:uid="{00000000-000D-0000-FFFF-FFFF00000000}"/>
  </bookViews>
  <sheets>
    <sheet name="MAIN DATA" sheetId="1" r:id="rId1"/>
    <sheet name="DASH BAORD" sheetId="4" r:id="rId2"/>
    <sheet name="PIVOT TABLE" sheetId="5" r:id="rId3"/>
    <sheet name="TEMPERATURE" sheetId="7" r:id="rId4"/>
    <sheet name="HUMIDITY" sheetId="8" r:id="rId5"/>
    <sheet name="WEATHER" sheetId="9" r:id="rId6"/>
    <sheet name="RAINFALL" sheetId="10" r:id="rId7"/>
  </sheets>
  <definedNames>
    <definedName name="_xlchart.v5.0" hidden="1">'PIVOT TABLE'!$R$33</definedName>
    <definedName name="_xlchart.v5.1" hidden="1">'PIVOT TABLE'!$R$34:$R$113</definedName>
    <definedName name="_xlchart.v5.2" hidden="1">'PIVOT TABLE'!$S$33</definedName>
    <definedName name="_xlchart.v5.3" hidden="1">'PIVOT TABLE'!$S$34:$S$113</definedName>
    <definedName name="_xlchart.v5.4" hidden="1">'PIVOT TABLE'!$R$33</definedName>
    <definedName name="_xlchart.v5.5" hidden="1">'PIVOT TABLE'!$R$34:$R$113</definedName>
    <definedName name="_xlchart.v5.6" hidden="1">'PIVOT TABLE'!$S$33</definedName>
    <definedName name="_xlchart.v5.7" hidden="1">'PIVOT TABLE'!$S$34:$S$113</definedName>
    <definedName name="Slicer_Month1">#N/A</definedName>
    <definedName name="Slicer_Season">#N/A</definedName>
    <definedName name="Slicer_State">#N/A</definedName>
  </definedNames>
  <calcPr calcId="0"/>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Lst>
</workbook>
</file>

<file path=xl/sharedStrings.xml><?xml version="1.0" encoding="utf-8"?>
<sst xmlns="http://schemas.openxmlformats.org/spreadsheetml/2006/main" count="473" uniqueCount="129">
  <si>
    <t>Date</t>
  </si>
  <si>
    <t>Month</t>
  </si>
  <si>
    <t>Season</t>
  </si>
  <si>
    <t>State</t>
  </si>
  <si>
    <t>Avg Temp (°C)</t>
  </si>
  <si>
    <t>Max Temp (°C)</t>
  </si>
  <si>
    <t>Min Temp (°C)</t>
  </si>
  <si>
    <t>Rainfall (mm)</t>
  </si>
  <si>
    <t>Humidity (%)</t>
  </si>
  <si>
    <t>Wind Speed (km/h)</t>
  </si>
  <si>
    <t>Total Rainfall (mm)</t>
  </si>
  <si>
    <t>Avg Rainfall (mm)</t>
  </si>
  <si>
    <t>Rainy Days</t>
  </si>
  <si>
    <t>06-Jan-2020</t>
  </si>
  <si>
    <t>January</t>
  </si>
  <si>
    <t>Winter</t>
  </si>
  <si>
    <t>Kerala</t>
  </si>
  <si>
    <t>14-Feb-2020</t>
  </si>
  <si>
    <t>February</t>
  </si>
  <si>
    <t>Rajasthan</t>
  </si>
  <si>
    <t>23-Mar-2020</t>
  </si>
  <si>
    <t>March</t>
  </si>
  <si>
    <t>Spring</t>
  </si>
  <si>
    <t>Assam</t>
  </si>
  <si>
    <t>14-Apr-2020</t>
  </si>
  <si>
    <t>April</t>
  </si>
  <si>
    <t>Maharashtra</t>
  </si>
  <si>
    <t>21-May-2020</t>
  </si>
  <si>
    <t>May</t>
  </si>
  <si>
    <t>West Bengal</t>
  </si>
  <si>
    <t>10-Jun-2020</t>
  </si>
  <si>
    <t>June</t>
  </si>
  <si>
    <t>Summer</t>
  </si>
  <si>
    <t>Tamil Nadu</t>
  </si>
  <si>
    <t>16-Jul-2020</t>
  </si>
  <si>
    <t>July</t>
  </si>
  <si>
    <t>27-Aug-2020</t>
  </si>
  <si>
    <t>August</t>
  </si>
  <si>
    <t>Odisha</t>
  </si>
  <si>
    <t>07-Sep-2020</t>
  </si>
  <si>
    <t>September</t>
  </si>
  <si>
    <t>Autumn</t>
  </si>
  <si>
    <t>Uttar Pradesh</t>
  </si>
  <si>
    <t>26-Oct-2020</t>
  </si>
  <si>
    <t>October</t>
  </si>
  <si>
    <t>Punjab</t>
  </si>
  <si>
    <t>16-Nov-2020</t>
  </si>
  <si>
    <t>November</t>
  </si>
  <si>
    <t>Gujarat</t>
  </si>
  <si>
    <t>26-Dec-2020</t>
  </si>
  <si>
    <t>December</t>
  </si>
  <si>
    <t>Karnataka</t>
  </si>
  <si>
    <t>31-Jan-2021</t>
  </si>
  <si>
    <t>17-Feb-2021</t>
  </si>
  <si>
    <t>06-Mar-2021</t>
  </si>
  <si>
    <t>17-Apr-2021</t>
  </si>
  <si>
    <t>17-May-2021</t>
  </si>
  <si>
    <t>08-Jun-2021</t>
  </si>
  <si>
    <t>26-Jul-2021</t>
  </si>
  <si>
    <t>01-Aug-2021</t>
  </si>
  <si>
    <t>01-Sep-2021</t>
  </si>
  <si>
    <t>12-Oct-2021</t>
  </si>
  <si>
    <t>30-Nov-2021</t>
  </si>
  <si>
    <t>19-Dec-2021</t>
  </si>
  <si>
    <t>14-Jan-2022</t>
  </si>
  <si>
    <t>03-Feb-2022</t>
  </si>
  <si>
    <t>05-Mar-2022</t>
  </si>
  <si>
    <t>26-Apr-2022</t>
  </si>
  <si>
    <t>25-May-2022</t>
  </si>
  <si>
    <t>08-Jun-2022</t>
  </si>
  <si>
    <t>30-Jul-2022</t>
  </si>
  <si>
    <t>08-Aug-2022</t>
  </si>
  <si>
    <t>23-Sep-2022</t>
  </si>
  <si>
    <t>02-Oct-2022</t>
  </si>
  <si>
    <t>14-Nov-2022</t>
  </si>
  <si>
    <t>24-Dec-2022</t>
  </si>
  <si>
    <t>25-Jan-2023</t>
  </si>
  <si>
    <t>14-Feb-2023</t>
  </si>
  <si>
    <t>20-Mar-2023</t>
  </si>
  <si>
    <t>15-Apr-2023</t>
  </si>
  <si>
    <t>02-May-2023</t>
  </si>
  <si>
    <t>11-Jun-2023</t>
  </si>
  <si>
    <t>18-Jul-2023</t>
  </si>
  <si>
    <t>16-Aug-2023</t>
  </si>
  <si>
    <t>23-Sep-2023</t>
  </si>
  <si>
    <t>04-Oct-2023</t>
  </si>
  <si>
    <t>21-Nov-2023</t>
  </si>
  <si>
    <t>31-Dec-2023</t>
  </si>
  <si>
    <t>31-Jan-2024</t>
  </si>
  <si>
    <t>12-Feb-2024</t>
  </si>
  <si>
    <t>24-Jan-2025</t>
  </si>
  <si>
    <t>25-Feb-2025</t>
  </si>
  <si>
    <t>24-Mar-2025</t>
  </si>
  <si>
    <t>18-Apr-2025</t>
  </si>
  <si>
    <t>01-May-2025</t>
  </si>
  <si>
    <t>20-Jun-2025</t>
  </si>
  <si>
    <t>06-Jul-2025</t>
  </si>
  <si>
    <t>06-Aug-2025</t>
  </si>
  <si>
    <t>29-Sep-2025</t>
  </si>
  <si>
    <t>12-Oct-2025</t>
  </si>
  <si>
    <t>26-Nov-2025</t>
  </si>
  <si>
    <t>02-Dec-2025</t>
  </si>
  <si>
    <t>24-Jan-2026</t>
  </si>
  <si>
    <t>07-Feb-2026</t>
  </si>
  <si>
    <t>29-Mar-2026</t>
  </si>
  <si>
    <t>22-Apr-2026</t>
  </si>
  <si>
    <t>14-May-2026</t>
  </si>
  <si>
    <t>04-Jun-2026</t>
  </si>
  <si>
    <t>10-Jul-2026</t>
  </si>
  <si>
    <t>13-Aug-2026</t>
  </si>
  <si>
    <t>02-Sep-2026</t>
  </si>
  <si>
    <t>23-Oct-2026</t>
  </si>
  <si>
    <t>24-Nov-2026</t>
  </si>
  <si>
    <t>20-Dec-2026</t>
  </si>
  <si>
    <t>25-Mar-2024</t>
  </si>
  <si>
    <t>14-Jun-2024</t>
  </si>
  <si>
    <t>20-Aug-2024</t>
  </si>
  <si>
    <t>03-Oct-2024</t>
  </si>
  <si>
    <t>24-Nov-2024</t>
  </si>
  <si>
    <t>21-Dec-2024</t>
  </si>
  <si>
    <t>Row Labels</t>
  </si>
  <si>
    <t>Grand Total</t>
  </si>
  <si>
    <t>Sum of Avg Temp (°C)</t>
  </si>
  <si>
    <t>Sum of Humidity (%)</t>
  </si>
  <si>
    <t>Sum of Total Rainfall (mm)</t>
  </si>
  <si>
    <t>Count of Season</t>
  </si>
  <si>
    <t>Average of Avg Temp (°C)</t>
  </si>
  <si>
    <t>Average of Humidity (%)</t>
  </si>
  <si>
    <t>Average of Wind Speed (km/h)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</si>
</sst>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rgb="FFFFFFFF"/>
      <name val="Calibri"/>
    </font>
    <font>
      <sz val="10"/>
      <name val="Calibri"/>
    </font>
    <font>
      <b/>
      <sz val="10"/>
      <color rgb="FF1F4E79"/>
      <name val="Calibri"/>
    </font>
    <font>
      <b/>
      <sz val="10"/>
      <color rgb="FF375623"/>
      <name val="Calibri"/>
    </font>
    <font>
      <b/>
      <sz val="10"/>
      <color rgb="FF7F6000"/>
      <name val="Calibri"/>
    </font>
    <font>
      <b/>
      <sz val="10"/>
      <color rgb="FF843C0C"/>
      <name val="Calibri"/>
    </font>
    <font>
      <b/>
      <sz val="11"/>
      <color rgb="FFFFFFFF"/>
      <name val="Calibri"/>
      <family val="2"/>
    </font>
    <font>
      <sz val="10"/>
      <name val="Calibri"/>
      <family val="2"/>
    </font>
    <font>
      <b/>
      <sz val="10"/>
      <color rgb="FF1F4E79"/>
      <name val="Calibri"/>
      <family val="2"/>
    </font>
    <font>
      <b/>
      <sz val="10"/>
      <color rgb="FF375623"/>
      <name val="Calibri"/>
      <family val="2"/>
    </font>
    <font>
      <b/>
      <sz val="10"/>
      <color rgb="FF7F6000"/>
      <name val="Calibri"/>
      <family val="2"/>
    </font>
    <font>
      <sz val="40"/>
      <color rgb="FF000000"/>
      <name val="Calibri"/>
      <family val="2"/>
      <scheme val="minor"/>
    </font>
  </fonts>
  <fills count="9">
    <fill>
      <patternFill patternType="none"/>
    </fill>
    <fill>
      <patternFill patternType="gray125"/>
    </fill>
    <fill>
      <patternFill patternType="solid">
        <fgColor rgb="FF2E75B6"/>
      </patternFill>
    </fill>
    <fill>
      <patternFill patternType="solid">
        <fgColor rgb="FFEEF4FB"/>
      </patternFill>
    </fill>
    <fill>
      <patternFill patternType="solid">
        <fgColor rgb="FFD6E4F7"/>
      </patternFill>
    </fill>
    <fill>
      <patternFill patternType="solid">
        <fgColor rgb="FFFFFFFF"/>
      </patternFill>
    </fill>
    <fill>
      <patternFill patternType="solid">
        <fgColor rgb="FFE2EFDA"/>
      </patternFill>
    </fill>
    <fill>
      <patternFill patternType="solid">
        <fgColor rgb="FFFFF2CC"/>
      </patternFill>
    </fill>
    <fill>
      <patternFill patternType="solid">
        <fgColor rgb="FFFCE4D6"/>
      </patternFill>
    </fill>
  </fills>
  <borders count="10">
    <border>
      <left/>
      <right/>
      <top/>
      <bottom/>
      <diagonal/>
    </border>
    <border>
      <left style="thin">
        <color rgb="FFD0D0D0"/>
      </left>
      <right style="thin">
        <color rgb="FFD0D0D0"/>
      </right>
      <top style="thin">
        <color rgb="FFD0D0D0"/>
      </top>
      <bottom style="thin">
        <color rgb="FFD0D0D0"/>
      </bottom>
      <diagonal/>
    </border>
    <border>
      <left/>
      <right style="thin">
        <color rgb="FFD0D0D0"/>
      </right>
      <top style="thin">
        <color rgb="FFD0D0D0"/>
      </top>
      <bottom style="thin">
        <color rgb="FFD0D0D0"/>
      </bottom>
      <diagonal/>
    </border>
    <border>
      <left style="thin">
        <color rgb="FFD0D0D0"/>
      </left>
      <right/>
      <top style="thin">
        <color rgb="FFD0D0D0"/>
      </top>
      <bottom style="thin">
        <color rgb="FFD0D0D0"/>
      </bottom>
      <diagonal/>
    </border>
    <border>
      <left/>
      <right style="thin">
        <color rgb="FFD0D0D0"/>
      </right>
      <top/>
      <bottom style="thin">
        <color rgb="FFD0D0D0"/>
      </bottom>
      <diagonal/>
    </border>
    <border>
      <left style="thin">
        <color rgb="FFD0D0D0"/>
      </left>
      <right style="thin">
        <color rgb="FFD0D0D0"/>
      </right>
      <top/>
      <bottom style="thin">
        <color rgb="FFD0D0D0"/>
      </bottom>
      <diagonal/>
    </border>
    <border>
      <left style="thin">
        <color rgb="FFD0D0D0"/>
      </left>
      <right/>
      <top/>
      <bottom style="thin">
        <color rgb="FFD0D0D0"/>
      </bottom>
      <diagonal/>
    </border>
    <border>
      <left/>
      <right style="thin">
        <color rgb="FFD0D0D0"/>
      </right>
      <top style="thin">
        <color rgb="FFD0D0D0"/>
      </top>
      <bottom/>
      <diagonal/>
    </border>
    <border>
      <left style="thin">
        <color rgb="FFD0D0D0"/>
      </left>
      <right style="thin">
        <color rgb="FFD0D0D0"/>
      </right>
      <top style="thin">
        <color rgb="FFD0D0D0"/>
      </top>
      <bottom/>
      <diagonal/>
    </border>
    <border>
      <left style="thin">
        <color rgb="FFD0D0D0"/>
      </left>
      <right/>
      <top style="thin">
        <color rgb="FFD0D0D0"/>
      </top>
      <bottom/>
      <diagonal/>
    </border>
  </borders>
  <cellStyleXfs count="1">
    <xf numFmtId="0" fontId="0" fillId="0" borderId="0"/>
  </cellStyleXfs>
  <cellXfs count="56">
    <xf numFmtId="0" fontId="0" fillId="0" borderId="0" xfId="0"/>
    <xf numFmtId="0" fontId="2" fillId="3" borderId="1" xfId="0" applyFont="1" applyFill="1" applyBorder="1" applyAlignment="1">
      <alignment horizontal="center" vertical="center"/>
    </xf>
    <xf numFmtId="0" fontId="3" fillId="4" borderId="1" xfId="0" applyFont="1" applyFill="1" applyBorder="1" applyAlignment="1">
      <alignment horizontal="center" vertical="center"/>
    </xf>
    <xf numFmtId="0" fontId="4" fillId="3" borderId="1" xfId="0" applyFont="1" applyFill="1" applyBorder="1" applyAlignment="1">
      <alignment horizontal="center" vertical="center"/>
    </xf>
    <xf numFmtId="0" fontId="2" fillId="5" borderId="1" xfId="0" applyFont="1" applyFill="1" applyBorder="1" applyAlignment="1">
      <alignment horizontal="center" vertical="center"/>
    </xf>
    <xf numFmtId="0" fontId="3" fillId="5" borderId="1" xfId="0" applyFont="1" applyFill="1" applyBorder="1" applyAlignment="1">
      <alignment horizontal="center" vertical="center"/>
    </xf>
    <xf numFmtId="0" fontId="4" fillId="5" borderId="1" xfId="0" applyFont="1" applyFill="1" applyBorder="1" applyAlignment="1">
      <alignment horizontal="center" vertical="center"/>
    </xf>
    <xf numFmtId="0" fontId="4" fillId="6" borderId="1" xfId="0" applyFont="1" applyFill="1" applyBorder="1" applyAlignment="1">
      <alignment horizontal="center" vertical="center"/>
    </xf>
    <xf numFmtId="0" fontId="3" fillId="3" borderId="1" xfId="0" applyFont="1" applyFill="1" applyBorder="1" applyAlignment="1">
      <alignment horizontal="center" vertical="center"/>
    </xf>
    <xf numFmtId="0" fontId="5" fillId="5" borderId="1" xfId="0" applyFont="1" applyFill="1" applyBorder="1" applyAlignment="1">
      <alignment horizontal="center" vertical="center"/>
    </xf>
    <xf numFmtId="0" fontId="5" fillId="3" borderId="1" xfId="0" applyFont="1" applyFill="1" applyBorder="1" applyAlignment="1">
      <alignment horizontal="center" vertical="center"/>
    </xf>
    <xf numFmtId="0" fontId="5" fillId="7" borderId="1" xfId="0" applyFont="1" applyFill="1" applyBorder="1" applyAlignment="1">
      <alignment horizontal="center" vertical="center"/>
    </xf>
    <xf numFmtId="0" fontId="6" fillId="8" borderId="1" xfId="0" applyFont="1" applyFill="1" applyBorder="1" applyAlignment="1">
      <alignment horizontal="center" vertical="center"/>
    </xf>
    <xf numFmtId="0" fontId="2" fillId="3" borderId="2" xfId="0" applyFont="1" applyFill="1" applyBorder="1" applyAlignment="1">
      <alignment horizontal="center" vertical="center"/>
    </xf>
    <xf numFmtId="0" fontId="2" fillId="5" borderId="2" xfId="0" applyFont="1" applyFill="1" applyBorder="1" applyAlignment="1">
      <alignment horizontal="center" vertical="center"/>
    </xf>
    <xf numFmtId="0" fontId="2" fillId="3" borderId="3" xfId="0" applyFont="1" applyFill="1" applyBorder="1" applyAlignment="1">
      <alignment horizontal="center" vertical="center"/>
    </xf>
    <xf numFmtId="0" fontId="2" fillId="5" borderId="3"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2" fillId="5" borderId="7" xfId="0" applyFont="1" applyFill="1" applyBorder="1" applyAlignment="1">
      <alignment horizontal="center" vertical="center"/>
    </xf>
    <xf numFmtId="0" fontId="2" fillId="5" borderId="8" xfId="0" applyFont="1" applyFill="1" applyBorder="1" applyAlignment="1">
      <alignment horizontal="center" vertical="center"/>
    </xf>
    <xf numFmtId="0" fontId="3" fillId="4" borderId="8" xfId="0" applyFont="1" applyFill="1" applyBorder="1" applyAlignment="1">
      <alignment horizontal="center" vertical="center"/>
    </xf>
    <xf numFmtId="0" fontId="3" fillId="5" borderId="8" xfId="0" applyFont="1" applyFill="1" applyBorder="1" applyAlignment="1">
      <alignment horizontal="center" vertical="center"/>
    </xf>
    <xf numFmtId="0" fontId="4" fillId="5" borderId="8" xfId="0" applyFont="1" applyFill="1" applyBorder="1" applyAlignment="1">
      <alignment horizontal="center" vertical="center"/>
    </xf>
    <xf numFmtId="0" fontId="2" fillId="5" borderId="9" xfId="0" applyFont="1" applyFill="1" applyBorder="1" applyAlignment="1">
      <alignment horizontal="center" vertical="center"/>
    </xf>
    <xf numFmtId="0" fontId="0" fillId="0" borderId="0" xfId="0" pivotButton="1"/>
    <xf numFmtId="0" fontId="0" fillId="0" borderId="0" xfId="0" applyAlignment="1">
      <alignment horizontal="left"/>
    </xf>
    <xf numFmtId="0" fontId="8" fillId="5" borderId="1" xfId="0" applyFont="1" applyFill="1" applyBorder="1" applyAlignment="1">
      <alignment horizontal="center" vertical="center"/>
    </xf>
    <xf numFmtId="0" fontId="9" fillId="5" borderId="1" xfId="0" applyFont="1" applyFill="1" applyBorder="1" applyAlignment="1">
      <alignment horizontal="center" vertical="center"/>
    </xf>
    <xf numFmtId="0" fontId="11" fillId="5" borderId="1" xfId="0" applyFont="1" applyFill="1" applyBorder="1" applyAlignment="1">
      <alignment horizontal="center" vertical="center"/>
    </xf>
    <xf numFmtId="0" fontId="10" fillId="5" borderId="1" xfId="0" applyFont="1" applyFill="1" applyBorder="1" applyAlignment="1">
      <alignment horizontal="center" vertical="center"/>
    </xf>
    <xf numFmtId="0" fontId="7" fillId="0" borderId="1" xfId="0" applyFont="1" applyBorder="1" applyAlignment="1">
      <alignment horizontal="center" vertical="center"/>
    </xf>
    <xf numFmtId="0" fontId="10" fillId="0" borderId="1" xfId="0" applyFont="1" applyBorder="1" applyAlignment="1">
      <alignment horizontal="center" vertical="center"/>
    </xf>
    <xf numFmtId="0" fontId="8" fillId="0" borderId="1" xfId="0" applyFont="1" applyBorder="1" applyAlignment="1">
      <alignment horizontal="center" vertical="center"/>
    </xf>
    <xf numFmtId="0" fontId="9" fillId="0" borderId="1" xfId="0" applyFont="1" applyBorder="1" applyAlignment="1">
      <alignment horizontal="center" vertical="center"/>
    </xf>
    <xf numFmtId="0" fontId="11" fillId="0" borderId="1" xfId="0" applyFont="1" applyBorder="1" applyAlignment="1">
      <alignment horizontal="center" vertical="center"/>
    </xf>
    <xf numFmtId="0" fontId="8" fillId="3" borderId="2" xfId="0" applyFont="1" applyFill="1" applyBorder="1" applyAlignment="1">
      <alignment horizontal="center" vertical="center"/>
    </xf>
    <xf numFmtId="0" fontId="8" fillId="5" borderId="2" xfId="0" applyFont="1" applyFill="1" applyBorder="1" applyAlignment="1">
      <alignment horizontal="center" vertical="center"/>
    </xf>
    <xf numFmtId="0" fontId="10" fillId="3" borderId="3" xfId="0" applyFont="1" applyFill="1" applyBorder="1" applyAlignment="1">
      <alignment horizontal="center" vertical="center"/>
    </xf>
    <xf numFmtId="0" fontId="9" fillId="5" borderId="3" xfId="0" applyFont="1" applyFill="1" applyBorder="1" applyAlignment="1">
      <alignment horizontal="center" vertical="center"/>
    </xf>
    <xf numFmtId="0" fontId="11" fillId="5" borderId="3" xfId="0" applyFont="1" applyFill="1" applyBorder="1" applyAlignment="1">
      <alignment horizontal="center" vertical="center"/>
    </xf>
    <xf numFmtId="0" fontId="11" fillId="3" borderId="3" xfId="0" applyFont="1" applyFill="1" applyBorder="1" applyAlignment="1">
      <alignment horizontal="center" vertical="center"/>
    </xf>
    <xf numFmtId="0" fontId="10" fillId="5" borderId="3" xfId="0" applyFont="1" applyFill="1" applyBorder="1" applyAlignment="1">
      <alignment horizontal="center" vertical="center"/>
    </xf>
    <xf numFmtId="0" fontId="9" fillId="3" borderId="3" xfId="0" applyFont="1" applyFill="1" applyBorder="1" applyAlignment="1">
      <alignment horizontal="center" vertical="center"/>
    </xf>
    <xf numFmtId="0" fontId="7" fillId="2" borderId="4" xfId="0" applyFont="1" applyFill="1" applyBorder="1" applyAlignment="1">
      <alignment horizontal="center" vertical="center"/>
    </xf>
    <xf numFmtId="0" fontId="7" fillId="2" borderId="6" xfId="0" applyFont="1" applyFill="1" applyBorder="1" applyAlignment="1">
      <alignment horizontal="center" vertical="center"/>
    </xf>
    <xf numFmtId="0" fontId="8" fillId="5" borderId="7" xfId="0" applyFont="1" applyFill="1" applyBorder="1" applyAlignment="1">
      <alignment horizontal="center" vertical="center"/>
    </xf>
    <xf numFmtId="0" fontId="9" fillId="5" borderId="9" xfId="0" applyFont="1" applyFill="1" applyBorder="1" applyAlignment="1">
      <alignment horizontal="center" vertical="center"/>
    </xf>
    <xf numFmtId="0" fontId="10" fillId="0" borderId="3" xfId="0" applyFont="1" applyBorder="1" applyAlignment="1">
      <alignment horizontal="center" vertical="center"/>
    </xf>
    <xf numFmtId="0" fontId="11" fillId="0" borderId="3" xfId="0" applyFont="1" applyBorder="1" applyAlignment="1">
      <alignment horizontal="center" vertical="center"/>
    </xf>
    <xf numFmtId="0" fontId="8" fillId="5" borderId="5" xfId="0" applyFont="1" applyFill="1" applyBorder="1" applyAlignment="1">
      <alignment horizontal="center" vertical="center"/>
    </xf>
    <xf numFmtId="0" fontId="10" fillId="0" borderId="0" xfId="0" applyFont="1" applyAlignment="1">
      <alignment horizontal="center" vertical="center"/>
    </xf>
    <xf numFmtId="0" fontId="8" fillId="0" borderId="0" xfId="0" applyFont="1" applyAlignment="1">
      <alignment horizontal="center" vertical="center"/>
    </xf>
    <xf numFmtId="0" fontId="9" fillId="0" borderId="0" xfId="0" applyFont="1" applyAlignment="1">
      <alignment horizontal="center" vertical="center"/>
    </xf>
    <xf numFmtId="0" fontId="12" fillId="0" borderId="0" xfId="0" applyFont="1" applyAlignment="1">
      <alignment horizontal="center" vertical="center" readingOrder="1"/>
    </xf>
  </cellXfs>
  <cellStyles count="1">
    <cellStyle name="Normal" xfId="0" builtinId="0"/>
  </cellStyles>
  <dxfs count="19">
    <dxf>
      <font>
        <b val="0"/>
        <i val="0"/>
        <strike val="0"/>
        <condense val="0"/>
        <extend val="0"/>
        <outline val="0"/>
        <shadow val="0"/>
        <u val="none"/>
        <vertAlign val="baseline"/>
        <sz val="10"/>
        <color auto="1"/>
        <name val="Calibri"/>
        <family val="2"/>
        <scheme val="none"/>
      </font>
      <fill>
        <patternFill patternType="solid">
          <fgColor indexed="64"/>
          <bgColor rgb="FFFFFFFF"/>
        </patternFill>
      </fill>
      <alignment horizontal="center" vertical="center" textRotation="0" wrapText="0" indent="0" justifyLastLine="0" shrinkToFit="0" readingOrder="0"/>
      <border diagonalUp="0" diagonalDown="0">
        <left/>
        <right style="thin">
          <color rgb="FFD0D0D0"/>
        </right>
        <top style="thin">
          <color rgb="FFD0D0D0"/>
        </top>
        <bottom style="thin">
          <color rgb="FFD0D0D0"/>
        </bottom>
        <vertical/>
        <horizontal/>
      </border>
    </dxf>
    <dxf>
      <border outline="0">
        <top style="thin">
          <color rgb="FFD0D0D0"/>
        </top>
      </border>
    </dxf>
    <dxf>
      <border outline="0">
        <left style="thin">
          <color rgb="FFD0D0D0"/>
        </left>
        <right style="thin">
          <color rgb="FFD0D0D0"/>
        </right>
        <top style="thin">
          <color rgb="FFD0D0D0"/>
        </top>
        <bottom style="thin">
          <color rgb="FFD0D0D0"/>
        </bottom>
      </border>
    </dxf>
    <dxf>
      <border outline="0">
        <bottom style="thin">
          <color rgb="FFD0D0D0"/>
        </bottom>
      </border>
    </dxf>
    <dxf>
      <font>
        <b/>
        <i val="0"/>
        <strike val="0"/>
        <condense val="0"/>
        <extend val="0"/>
        <outline val="0"/>
        <shadow val="0"/>
        <u val="none"/>
        <vertAlign val="baseline"/>
        <sz val="11"/>
        <color rgb="FFFFFFFF"/>
        <name val="Calibri"/>
        <family val="2"/>
        <scheme val="none"/>
      </font>
      <fill>
        <patternFill patternType="solid">
          <fgColor indexed="64"/>
          <bgColor rgb="FF2E75B6"/>
        </patternFill>
      </fill>
      <alignment horizontal="center" vertical="center" textRotation="0" wrapText="0" indent="0" justifyLastLine="0" shrinkToFit="0" readingOrder="0"/>
      <border diagonalUp="0" diagonalDown="0" outline="0">
        <left style="thin">
          <color rgb="FFD0D0D0"/>
        </left>
        <right style="thin">
          <color rgb="FFD0D0D0"/>
        </right>
        <top/>
        <bottom/>
      </border>
    </dxf>
    <dxf>
      <font>
        <b val="0"/>
        <i val="0"/>
        <strike val="0"/>
        <condense val="0"/>
        <extend val="0"/>
        <outline val="0"/>
        <shadow val="0"/>
        <u val="none"/>
        <vertAlign val="baseline"/>
        <sz val="10"/>
        <color auto="1"/>
        <name val="Calibri"/>
        <scheme val="none"/>
      </font>
      <fill>
        <patternFill patternType="solid">
          <fgColor indexed="64"/>
          <bgColor rgb="FFFFFFFF"/>
        </patternFill>
      </fill>
      <alignment horizontal="center" vertical="center" textRotation="0" wrapText="0" indent="0" justifyLastLine="0" shrinkToFit="0" readingOrder="0"/>
      <border diagonalUp="0" diagonalDown="0">
        <left style="thin">
          <color rgb="FFD0D0D0"/>
        </left>
        <right/>
        <top style="thin">
          <color rgb="FFD0D0D0"/>
        </top>
        <bottom style="thin">
          <color rgb="FFD0D0D0"/>
        </bottom>
        <vertical/>
        <horizontal/>
      </border>
    </dxf>
    <dxf>
      <font>
        <b val="0"/>
        <i val="0"/>
        <strike val="0"/>
        <condense val="0"/>
        <extend val="0"/>
        <outline val="0"/>
        <shadow val="0"/>
        <u val="none"/>
        <vertAlign val="baseline"/>
        <sz val="10"/>
        <color auto="1"/>
        <name val="Calibri"/>
        <scheme val="none"/>
      </font>
      <fill>
        <patternFill patternType="solid">
          <fgColor indexed="64"/>
          <bgColor rgb="FFFFFFFF"/>
        </patternFill>
      </fill>
      <alignment horizontal="center" vertical="center" textRotation="0" wrapText="0" indent="0" justifyLastLine="0" shrinkToFit="0" readingOrder="0"/>
      <border diagonalUp="0" diagonalDown="0">
        <left style="thin">
          <color rgb="FFD0D0D0"/>
        </left>
        <right style="thin">
          <color rgb="FFD0D0D0"/>
        </right>
        <top style="thin">
          <color rgb="FFD0D0D0"/>
        </top>
        <bottom style="thin">
          <color rgb="FFD0D0D0"/>
        </bottom>
        <vertical/>
        <horizontal/>
      </border>
    </dxf>
    <dxf>
      <font>
        <b val="0"/>
        <i val="0"/>
        <strike val="0"/>
        <condense val="0"/>
        <extend val="0"/>
        <outline val="0"/>
        <shadow val="0"/>
        <u val="none"/>
        <vertAlign val="baseline"/>
        <sz val="10"/>
        <color auto="1"/>
        <name val="Calibri"/>
        <scheme val="none"/>
      </font>
      <fill>
        <patternFill patternType="solid">
          <fgColor indexed="64"/>
          <bgColor rgb="FFFFFFFF"/>
        </patternFill>
      </fill>
      <alignment horizontal="center" vertical="center" textRotation="0" wrapText="0" indent="0" justifyLastLine="0" shrinkToFit="0" readingOrder="0"/>
      <border diagonalUp="0" diagonalDown="0">
        <left style="thin">
          <color rgb="FFD0D0D0"/>
        </left>
        <right style="thin">
          <color rgb="FFD0D0D0"/>
        </right>
        <top style="thin">
          <color rgb="FFD0D0D0"/>
        </top>
        <bottom style="thin">
          <color rgb="FFD0D0D0"/>
        </bottom>
        <vertical/>
        <horizontal/>
      </border>
    </dxf>
    <dxf>
      <font>
        <b val="0"/>
        <i val="0"/>
        <strike val="0"/>
        <condense val="0"/>
        <extend val="0"/>
        <outline val="0"/>
        <shadow val="0"/>
        <u val="none"/>
        <vertAlign val="baseline"/>
        <sz val="10"/>
        <color auto="1"/>
        <name val="Calibri"/>
        <scheme val="none"/>
      </font>
      <fill>
        <patternFill patternType="solid">
          <fgColor indexed="64"/>
          <bgColor rgb="FFFFFFFF"/>
        </patternFill>
      </fill>
      <alignment horizontal="center" vertical="center" textRotation="0" wrapText="0" indent="0" justifyLastLine="0" shrinkToFit="0" readingOrder="0"/>
      <border diagonalUp="0" diagonalDown="0">
        <left style="thin">
          <color rgb="FFD0D0D0"/>
        </left>
        <right style="thin">
          <color rgb="FFD0D0D0"/>
        </right>
        <top style="thin">
          <color rgb="FFD0D0D0"/>
        </top>
        <bottom style="thin">
          <color rgb="FFD0D0D0"/>
        </bottom>
        <vertical/>
        <horizontal/>
      </border>
    </dxf>
    <dxf>
      <font>
        <b val="0"/>
        <i val="0"/>
        <strike val="0"/>
        <condense val="0"/>
        <extend val="0"/>
        <outline val="0"/>
        <shadow val="0"/>
        <u val="none"/>
        <vertAlign val="baseline"/>
        <sz val="10"/>
        <color auto="1"/>
        <name val="Calibri"/>
        <scheme val="none"/>
      </font>
      <fill>
        <patternFill patternType="solid">
          <fgColor indexed="64"/>
          <bgColor rgb="FFFFFFFF"/>
        </patternFill>
      </fill>
      <alignment horizontal="center" vertical="center" textRotation="0" wrapText="0" indent="0" justifyLastLine="0" shrinkToFit="0" readingOrder="0"/>
      <border diagonalUp="0" diagonalDown="0">
        <left style="thin">
          <color rgb="FFD0D0D0"/>
        </left>
        <right style="thin">
          <color rgb="FFD0D0D0"/>
        </right>
        <top style="thin">
          <color rgb="FFD0D0D0"/>
        </top>
        <bottom style="thin">
          <color rgb="FFD0D0D0"/>
        </bottom>
        <vertical/>
        <horizontal/>
      </border>
    </dxf>
    <dxf>
      <font>
        <b val="0"/>
        <i val="0"/>
        <strike val="0"/>
        <condense val="0"/>
        <extend val="0"/>
        <outline val="0"/>
        <shadow val="0"/>
        <u val="none"/>
        <vertAlign val="baseline"/>
        <sz val="10"/>
        <color auto="1"/>
        <name val="Calibri"/>
        <scheme val="none"/>
      </font>
      <fill>
        <patternFill patternType="solid">
          <fgColor indexed="64"/>
          <bgColor rgb="FFFFFFFF"/>
        </patternFill>
      </fill>
      <alignment horizontal="center" vertical="center" textRotation="0" wrapText="0" indent="0" justifyLastLine="0" shrinkToFit="0" readingOrder="0"/>
      <border diagonalUp="0" diagonalDown="0">
        <left style="thin">
          <color rgb="FFD0D0D0"/>
        </left>
        <right style="thin">
          <color rgb="FFD0D0D0"/>
        </right>
        <top style="thin">
          <color rgb="FFD0D0D0"/>
        </top>
        <bottom style="thin">
          <color rgb="FFD0D0D0"/>
        </bottom>
        <vertical/>
        <horizontal/>
      </border>
    </dxf>
    <dxf>
      <font>
        <b val="0"/>
        <i val="0"/>
        <strike val="0"/>
        <condense val="0"/>
        <extend val="0"/>
        <outline val="0"/>
        <shadow val="0"/>
        <u val="none"/>
        <vertAlign val="baseline"/>
        <sz val="10"/>
        <color auto="1"/>
        <name val="Calibri"/>
        <scheme val="none"/>
      </font>
      <fill>
        <patternFill patternType="solid">
          <fgColor indexed="64"/>
          <bgColor rgb="FFFFFFFF"/>
        </patternFill>
      </fill>
      <alignment horizontal="center" vertical="center" textRotation="0" wrapText="0" indent="0" justifyLastLine="0" shrinkToFit="0" readingOrder="0"/>
      <border diagonalUp="0" diagonalDown="0">
        <left style="thin">
          <color rgb="FFD0D0D0"/>
        </left>
        <right style="thin">
          <color rgb="FFD0D0D0"/>
        </right>
        <top style="thin">
          <color rgb="FFD0D0D0"/>
        </top>
        <bottom style="thin">
          <color rgb="FFD0D0D0"/>
        </bottom>
        <vertical/>
        <horizontal/>
      </border>
    </dxf>
    <dxf>
      <font>
        <b val="0"/>
        <i val="0"/>
        <strike val="0"/>
        <condense val="0"/>
        <extend val="0"/>
        <outline val="0"/>
        <shadow val="0"/>
        <u val="none"/>
        <vertAlign val="baseline"/>
        <sz val="10"/>
        <color auto="1"/>
        <name val="Calibri"/>
        <scheme val="none"/>
      </font>
      <fill>
        <patternFill patternType="solid">
          <fgColor indexed="64"/>
          <bgColor rgb="FFFFFFFF"/>
        </patternFill>
      </fill>
      <alignment horizontal="center" vertical="center" textRotation="0" wrapText="0" indent="0" justifyLastLine="0" shrinkToFit="0" readingOrder="0"/>
      <border diagonalUp="0" diagonalDown="0">
        <left style="thin">
          <color rgb="FFD0D0D0"/>
        </left>
        <right style="thin">
          <color rgb="FFD0D0D0"/>
        </right>
        <top style="thin">
          <color rgb="FFD0D0D0"/>
        </top>
        <bottom style="thin">
          <color rgb="FFD0D0D0"/>
        </bottom>
        <vertical/>
        <horizontal/>
      </border>
    </dxf>
    <dxf>
      <font>
        <b val="0"/>
        <i val="0"/>
        <strike val="0"/>
        <condense val="0"/>
        <extend val="0"/>
        <outline val="0"/>
        <shadow val="0"/>
        <u val="none"/>
        <vertAlign val="baseline"/>
        <sz val="10"/>
        <color auto="1"/>
        <name val="Calibri"/>
        <scheme val="none"/>
      </font>
      <fill>
        <patternFill patternType="solid">
          <fgColor indexed="64"/>
          <bgColor rgb="FFFFFFFF"/>
        </patternFill>
      </fill>
      <alignment horizontal="center" vertical="center" textRotation="0" wrapText="0" indent="0" justifyLastLine="0" shrinkToFit="0" readingOrder="0"/>
      <border diagonalUp="0" diagonalDown="0">
        <left/>
        <right style="thin">
          <color rgb="FFD0D0D0"/>
        </right>
        <top style="thin">
          <color rgb="FFD0D0D0"/>
        </top>
        <bottom style="thin">
          <color rgb="FFD0D0D0"/>
        </bottom>
        <vertical/>
        <horizontal/>
      </border>
    </dxf>
    <dxf>
      <border outline="0">
        <top style="thin">
          <color rgb="FFD0D0D0"/>
        </top>
      </border>
    </dxf>
    <dxf>
      <border outline="0">
        <left style="thin">
          <color rgb="FFD0D0D0"/>
        </left>
        <right style="thin">
          <color rgb="FFD0D0D0"/>
        </right>
        <top style="thin">
          <color rgb="FFD0D0D0"/>
        </top>
        <bottom style="thin">
          <color rgb="FFD0D0D0"/>
        </bottom>
      </border>
    </dxf>
    <dxf>
      <font>
        <b val="0"/>
        <i val="0"/>
        <strike val="0"/>
        <condense val="0"/>
        <extend val="0"/>
        <outline val="0"/>
        <shadow val="0"/>
        <u val="none"/>
        <vertAlign val="baseline"/>
        <sz val="10"/>
        <color auto="1"/>
        <name val="Calibri"/>
        <scheme val="none"/>
      </font>
      <fill>
        <patternFill patternType="solid">
          <fgColor indexed="64"/>
          <bgColor rgb="FFFFFFFF"/>
        </patternFill>
      </fill>
      <alignment horizontal="center" vertical="center" textRotation="0" wrapText="0" indent="0" justifyLastLine="0" shrinkToFit="0" readingOrder="0"/>
    </dxf>
    <dxf>
      <border outline="0">
        <bottom style="thin">
          <color rgb="FFD0D0D0"/>
        </bottom>
      </border>
    </dxf>
    <dxf>
      <font>
        <b/>
        <i val="0"/>
        <strike val="0"/>
        <condense val="0"/>
        <extend val="0"/>
        <outline val="0"/>
        <shadow val="0"/>
        <u val="none"/>
        <vertAlign val="baseline"/>
        <sz val="11"/>
        <color rgb="FFFFFFFF"/>
        <name val="Calibri"/>
        <scheme val="none"/>
      </font>
      <fill>
        <patternFill patternType="solid">
          <fgColor indexed="64"/>
          <bgColor rgb="FF2E75B6"/>
        </patternFill>
      </fill>
      <alignment horizontal="center" vertical="center" textRotation="0" wrapText="0" indent="0" justifyLastLine="0" shrinkToFit="0" readingOrder="0"/>
      <border diagonalUp="0" diagonalDown="0" outline="0">
        <left style="thin">
          <color rgb="FFD0D0D0"/>
        </left>
        <right style="thin">
          <color rgb="FFD0D0D0"/>
        </right>
        <top/>
        <bottom/>
      </border>
    </dxf>
  </dxfs>
  <tableStyles count="0" defaultTableStyle="TableStyleMedium9" defaultPivotStyle="PivotStyleLight16"/>
  <colors>
    <mruColors>
      <color rgb="FFFBCBA3"/>
      <color rgb="FFB4DE86"/>
      <color rgb="FFFAC090"/>
      <color rgb="FFCFC9A9"/>
      <color rgb="FFC6BF9A"/>
      <color rgb="FFB6B156"/>
      <color rgb="FFE4FFAF"/>
      <color rgb="FF4C1FEF"/>
      <color rgb="FFCC0000"/>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[WEATHER _DATA_ANALYSIS.xlsx]PIVOT TABLE!PivotTable1</c:name>
    <c:fmtId val="12"/>
  </c:pivotSource>
  <c:chart>
    <c:autoTitleDeleted val="1"/>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dk1">
                <a:tint val="885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c:f>
              <c:strCache>
                <c:ptCount val="1"/>
                <c:pt idx="0">
                  <c:v>Total</c:v>
                </c:pt>
              </c:strCache>
            </c:strRef>
          </c:tx>
          <c:spPr>
            <a:ln w="28575" cap="rnd">
              <a:solidFill>
                <a:schemeClr val="dk1">
                  <a:tint val="88500"/>
                </a:schemeClr>
              </a:solidFill>
              <a:round/>
            </a:ln>
            <a:effectLst/>
          </c:spPr>
          <c:marker>
            <c:symbol val="none"/>
          </c:marker>
          <c:cat>
            <c:strRef>
              <c:f>'PIVOT TABLE'!$A$3:$A$15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TABLE'!$B$3:$B$15</c:f>
              <c:numCache>
                <c:formatCode>General</c:formatCode>
                <c:ptCount val="12"/>
                <c:pt idx="0">
                  <c:v>131.69999999999999</c:v>
                </c:pt>
                <c:pt idx="1">
                  <c:v>160.1</c:v>
                </c:pt>
                <c:pt idx="2">
                  <c:v>184.6</c:v>
                </c:pt>
                <c:pt idx="3">
                  <c:v>180.39999999999998</c:v>
                </c:pt>
                <c:pt idx="4">
                  <c:v>182.4</c:v>
                </c:pt>
                <c:pt idx="5">
                  <c:v>216.5</c:v>
                </c:pt>
                <c:pt idx="6">
                  <c:v>179.5</c:v>
                </c:pt>
                <c:pt idx="7">
                  <c:v>213.90000000000003</c:v>
                </c:pt>
                <c:pt idx="8">
                  <c:v>165.3</c:v>
                </c:pt>
                <c:pt idx="9">
                  <c:v>171.7</c:v>
                </c:pt>
                <c:pt idx="10">
                  <c:v>166.6</c:v>
                </c:pt>
                <c:pt idx="11">
                  <c:v>133.4</c:v>
                </c:pt>
              </c:numCache>
            </c:numRef>
          </c:val>
          <c:smooth val="0"/>
          <c:extLst>
            <c:ext xmlns:c16="http://schemas.microsoft.com/office/drawing/2014/chart" uri="{C3380CC4-5D6E-409C-BE32-E72D297353CC}">
              <c16:uniqueId val="{00000000-7BC1-439B-A454-BDD8E578F63E}"/>
            </c:ext>
          </c:extLst>
        </c:ser>
        <c:dLbls>
          <c:showLegendKey val="0"/>
          <c:showVal val="0"/>
          <c:showCatName val="0"/>
          <c:showSerName val="0"/>
          <c:showPercent val="0"/>
          <c:showBubbleSize val="0"/>
        </c:dLbls>
        <c:smooth val="0"/>
        <c:axId val="1213448736"/>
        <c:axId val="1213465536"/>
      </c:lineChart>
      <c:catAx>
        <c:axId val="1213448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3465536"/>
        <c:crosses val="autoZero"/>
        <c:auto val="1"/>
        <c:lblAlgn val="ctr"/>
        <c:lblOffset val="100"/>
        <c:noMultiLvlLbl val="0"/>
      </c:catAx>
      <c:valAx>
        <c:axId val="1213465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3448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[WEATHER _DATA_ANALYSIS.xlsx]PIVOT TABLE!PivotTable2</c:name>
    <c:fmtId val="6"/>
  </c:pivotSource>
  <c:chart>
    <c:autoTitleDeleted val="1"/>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TABLE'!$B$18</c:f>
              <c:strCache>
                <c:ptCount val="1"/>
                <c:pt idx="0">
                  <c:v>Total</c:v>
                </c:pt>
              </c:strCache>
            </c:strRef>
          </c:tx>
          <c:spPr>
            <a:solidFill>
              <a:schemeClr val="accent3"/>
            </a:solidFill>
            <a:ln>
              <a:noFill/>
            </a:ln>
            <a:effectLst/>
          </c:spPr>
          <c:invertIfNegative val="0"/>
          <c:cat>
            <c:strRef>
              <c:f>'PIVOT TABLE'!$A$19:$A$30</c:f>
              <c:strCache>
                <c:ptCount val="11"/>
                <c:pt idx="0">
                  <c:v>Assam</c:v>
                </c:pt>
                <c:pt idx="1">
                  <c:v>Gujarat</c:v>
                </c:pt>
                <c:pt idx="2">
                  <c:v>Karnataka</c:v>
                </c:pt>
                <c:pt idx="3">
                  <c:v>Kerala</c:v>
                </c:pt>
                <c:pt idx="4">
                  <c:v>Maharashtra</c:v>
                </c:pt>
                <c:pt idx="5">
                  <c:v>Odisha</c:v>
                </c:pt>
                <c:pt idx="6">
                  <c:v>Punjab</c:v>
                </c:pt>
                <c:pt idx="7">
                  <c:v>Rajasthan</c:v>
                </c:pt>
                <c:pt idx="8">
                  <c:v>Tamil Nadu</c:v>
                </c:pt>
                <c:pt idx="9">
                  <c:v>Uttar Pradesh</c:v>
                </c:pt>
                <c:pt idx="10">
                  <c:v>West Bengal</c:v>
                </c:pt>
              </c:strCache>
            </c:strRef>
          </c:cat>
          <c:val>
            <c:numRef>
              <c:f>'PIVOT TABLE'!$B$19:$B$30</c:f>
              <c:numCache>
                <c:formatCode>General</c:formatCode>
                <c:ptCount val="11"/>
                <c:pt idx="0">
                  <c:v>657</c:v>
                </c:pt>
                <c:pt idx="1">
                  <c:v>343</c:v>
                </c:pt>
                <c:pt idx="2">
                  <c:v>432</c:v>
                </c:pt>
                <c:pt idx="3">
                  <c:v>781</c:v>
                </c:pt>
                <c:pt idx="4">
                  <c:v>439</c:v>
                </c:pt>
                <c:pt idx="5">
                  <c:v>545</c:v>
                </c:pt>
                <c:pt idx="6">
                  <c:v>185</c:v>
                </c:pt>
                <c:pt idx="7">
                  <c:v>258</c:v>
                </c:pt>
                <c:pt idx="8">
                  <c:v>595</c:v>
                </c:pt>
                <c:pt idx="9">
                  <c:v>366</c:v>
                </c:pt>
                <c:pt idx="10">
                  <c:v>521</c:v>
                </c:pt>
              </c:numCache>
            </c:numRef>
          </c:val>
          <c:extLst>
            <c:ext xmlns:c16="http://schemas.microsoft.com/office/drawing/2014/chart" uri="{C3380CC4-5D6E-409C-BE32-E72D297353CC}">
              <c16:uniqueId val="{00000000-C621-4703-BAB6-72895A4581C6}"/>
            </c:ext>
          </c:extLst>
        </c:ser>
        <c:dLbls>
          <c:showLegendKey val="0"/>
          <c:showVal val="0"/>
          <c:showCatName val="0"/>
          <c:showSerName val="0"/>
          <c:showPercent val="0"/>
          <c:showBubbleSize val="0"/>
        </c:dLbls>
        <c:gapWidth val="182"/>
        <c:axId val="1114869264"/>
        <c:axId val="1114868304"/>
      </c:barChart>
      <c:catAx>
        <c:axId val="1114869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4868304"/>
        <c:crosses val="autoZero"/>
        <c:auto val="1"/>
        <c:lblAlgn val="ctr"/>
        <c:lblOffset val="100"/>
        <c:noMultiLvlLbl val="0"/>
      </c:catAx>
      <c:valAx>
        <c:axId val="1114868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4869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[WEATHER _DATA_ANALYSIS.xlsx]PIVOT TABLE!PivotTable3</c:name>
    <c:fmtId val="8"/>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283638016754267"/>
          <c:y val="7.9725136605804325E-2"/>
          <c:w val="0.75055633365369601"/>
          <c:h val="0.82959615216358407"/>
        </c:manualLayout>
      </c:layout>
      <c:barChart>
        <c:barDir val="bar"/>
        <c:grouping val="clustered"/>
        <c:varyColors val="0"/>
        <c:ser>
          <c:idx val="0"/>
          <c:order val="0"/>
          <c:tx>
            <c:strRef>
              <c:f>'PIVOT TABLE'!$B$33</c:f>
              <c:strCache>
                <c:ptCount val="1"/>
                <c:pt idx="0">
                  <c:v>Total</c:v>
                </c:pt>
              </c:strCache>
            </c:strRef>
          </c:tx>
          <c:spPr>
            <a:solidFill>
              <a:schemeClr val="accent2"/>
            </a:solidFill>
            <a:ln>
              <a:noFill/>
            </a:ln>
            <a:effectLst/>
          </c:spPr>
          <c:invertIfNegative val="0"/>
          <c:cat>
            <c:strRef>
              <c:f>'PIVOT TABLE'!$A$34:$A$46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TABLE'!$B$34:$B$46</c:f>
              <c:numCache>
                <c:formatCode>General</c:formatCode>
                <c:ptCount val="12"/>
                <c:pt idx="0">
                  <c:v>2728</c:v>
                </c:pt>
                <c:pt idx="1">
                  <c:v>1398</c:v>
                </c:pt>
                <c:pt idx="2">
                  <c:v>1925</c:v>
                </c:pt>
                <c:pt idx="3">
                  <c:v>1696</c:v>
                </c:pt>
                <c:pt idx="4">
                  <c:v>1661</c:v>
                </c:pt>
                <c:pt idx="5">
                  <c:v>2001</c:v>
                </c:pt>
                <c:pt idx="6">
                  <c:v>1944</c:v>
                </c:pt>
                <c:pt idx="7">
                  <c:v>2379</c:v>
                </c:pt>
                <c:pt idx="8">
                  <c:v>1518</c:v>
                </c:pt>
                <c:pt idx="9">
                  <c:v>1173</c:v>
                </c:pt>
                <c:pt idx="10">
                  <c:v>1750</c:v>
                </c:pt>
                <c:pt idx="11">
                  <c:v>1789</c:v>
                </c:pt>
              </c:numCache>
            </c:numRef>
          </c:val>
          <c:extLst>
            <c:ext xmlns:c16="http://schemas.microsoft.com/office/drawing/2014/chart" uri="{C3380CC4-5D6E-409C-BE32-E72D297353CC}">
              <c16:uniqueId val="{00000000-961A-43B3-B934-22807817EE76}"/>
            </c:ext>
          </c:extLst>
        </c:ser>
        <c:dLbls>
          <c:showLegendKey val="0"/>
          <c:showVal val="0"/>
          <c:showCatName val="0"/>
          <c:showSerName val="0"/>
          <c:showPercent val="0"/>
          <c:showBubbleSize val="0"/>
        </c:dLbls>
        <c:gapWidth val="182"/>
        <c:axId val="1213503456"/>
        <c:axId val="1213498176"/>
      </c:barChart>
      <c:catAx>
        <c:axId val="1213503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3498176"/>
        <c:crosses val="autoZero"/>
        <c:auto val="1"/>
        <c:lblAlgn val="ctr"/>
        <c:lblOffset val="100"/>
        <c:noMultiLvlLbl val="0"/>
      </c:catAx>
      <c:valAx>
        <c:axId val="12134981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3503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[WEATHER _DATA_ANALYSIS.xlsx]PIVOT TABLE!PivotTable4</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'PIVOT TABLE'!$N$3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98B-4FBD-B42A-0717DB7DA71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98B-4FBD-B42A-0717DB7DA71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98B-4FBD-B42A-0717DB7DA71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98B-4FBD-B42A-0717DB7DA710}"/>
              </c:ext>
            </c:extLst>
          </c:dPt>
          <c:cat>
            <c:strRef>
              <c:f>'PIVOT TABLE'!$M$4:$M$8</c:f>
              <c:strCache>
                <c:ptCount val="4"/>
                <c:pt idx="0">
                  <c:v>Autumn</c:v>
                </c:pt>
                <c:pt idx="1">
                  <c:v>Spring</c:v>
                </c:pt>
                <c:pt idx="2">
                  <c:v>Summer</c:v>
                </c:pt>
                <c:pt idx="3">
                  <c:v>Winter</c:v>
                </c:pt>
              </c:strCache>
            </c:strRef>
          </c:cat>
          <c:val>
            <c:numRef>
              <c:f>'PIVOT TABLE'!$N$4:$N$8</c:f>
              <c:numCache>
                <c:formatCode>General</c:formatCode>
                <c:ptCount val="4"/>
                <c:pt idx="0">
                  <c:v>20</c:v>
                </c:pt>
                <c:pt idx="1">
                  <c:v>19</c:v>
                </c:pt>
                <c:pt idx="2">
                  <c:v>20</c:v>
                </c:pt>
                <c:pt idx="3">
                  <c:v>21</c:v>
                </c:pt>
              </c:numCache>
            </c:numRef>
          </c:val>
          <c:extLst>
            <c:ext xmlns:c16="http://schemas.microsoft.com/office/drawing/2014/chart" uri="{C3380CC4-5D6E-409C-BE32-E72D297353CC}">
              <c16:uniqueId val="{00000008-898B-4FBD-B42A-0717DB7DA71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[WEATHER _DATA_ANALYSIS.xlsx]PIVOT TABLE!PivotTable6</c:name>
    <c:fmtId val="4"/>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TABLE'!$N$15</c:f>
              <c:strCache>
                <c:ptCount val="1"/>
                <c:pt idx="0">
                  <c:v>Total</c:v>
                </c:pt>
              </c:strCache>
            </c:strRef>
          </c:tx>
          <c:spPr>
            <a:ln w="28575" cap="rnd">
              <a:solidFill>
                <a:schemeClr val="accent6"/>
              </a:solidFill>
              <a:round/>
            </a:ln>
            <a:effectLst/>
          </c:spPr>
          <c:marker>
            <c:symbol val="none"/>
          </c:marker>
          <c:cat>
            <c:strRef>
              <c:f>'PIVOT TABLE'!$M$16:$M$54</c:f>
              <c:strCache>
                <c:ptCount val="38"/>
                <c:pt idx="0">
                  <c:v>38</c:v>
                </c:pt>
                <c:pt idx="1">
                  <c:v>39</c:v>
                </c:pt>
                <c:pt idx="2">
                  <c:v>42</c:v>
                </c:pt>
                <c:pt idx="3">
                  <c:v>43</c:v>
                </c:pt>
                <c:pt idx="4">
                  <c:v>44</c:v>
                </c:pt>
                <c:pt idx="5">
                  <c:v>45</c:v>
                </c:pt>
                <c:pt idx="6">
                  <c:v>47</c:v>
                </c:pt>
                <c:pt idx="7">
                  <c:v>48</c:v>
                </c:pt>
                <c:pt idx="8">
                  <c:v>49</c:v>
                </c:pt>
                <c:pt idx="9">
                  <c:v>50</c:v>
                </c:pt>
                <c:pt idx="10">
                  <c:v>52</c:v>
                </c:pt>
                <c:pt idx="11">
                  <c:v>55</c:v>
                </c:pt>
                <c:pt idx="12">
                  <c:v>56</c:v>
                </c:pt>
                <c:pt idx="13">
                  <c:v>57</c:v>
                </c:pt>
                <c:pt idx="14">
                  <c:v>58</c:v>
                </c:pt>
                <c:pt idx="15">
                  <c:v>59</c:v>
                </c:pt>
                <c:pt idx="16">
                  <c:v>60</c:v>
                </c:pt>
                <c:pt idx="17">
                  <c:v>62</c:v>
                </c:pt>
                <c:pt idx="18">
                  <c:v>63</c:v>
                </c:pt>
                <c:pt idx="19">
                  <c:v>64</c:v>
                </c:pt>
                <c:pt idx="20">
                  <c:v>65</c:v>
                </c:pt>
                <c:pt idx="21">
                  <c:v>68</c:v>
                </c:pt>
                <c:pt idx="22">
                  <c:v>69</c:v>
                </c:pt>
                <c:pt idx="23">
                  <c:v>70</c:v>
                </c:pt>
                <c:pt idx="24">
                  <c:v>72</c:v>
                </c:pt>
                <c:pt idx="25">
                  <c:v>74</c:v>
                </c:pt>
                <c:pt idx="26">
                  <c:v>76</c:v>
                </c:pt>
                <c:pt idx="27">
                  <c:v>78</c:v>
                </c:pt>
                <c:pt idx="28">
                  <c:v>79</c:v>
                </c:pt>
                <c:pt idx="29">
                  <c:v>80</c:v>
                </c:pt>
                <c:pt idx="30">
                  <c:v>82</c:v>
                </c:pt>
                <c:pt idx="31">
                  <c:v>83</c:v>
                </c:pt>
                <c:pt idx="32">
                  <c:v>84</c:v>
                </c:pt>
                <c:pt idx="33">
                  <c:v>85</c:v>
                </c:pt>
                <c:pt idx="34">
                  <c:v>86</c:v>
                </c:pt>
                <c:pt idx="35">
                  <c:v>88</c:v>
                </c:pt>
                <c:pt idx="36">
                  <c:v>90</c:v>
                </c:pt>
                <c:pt idx="37">
                  <c:v>92</c:v>
                </c:pt>
              </c:strCache>
            </c:strRef>
          </c:cat>
          <c:val>
            <c:numRef>
              <c:f>'PIVOT TABLE'!$N$16:$N$54</c:f>
              <c:numCache>
                <c:formatCode>General</c:formatCode>
                <c:ptCount val="38"/>
                <c:pt idx="0">
                  <c:v>36</c:v>
                </c:pt>
                <c:pt idx="1">
                  <c:v>19.2</c:v>
                </c:pt>
                <c:pt idx="2">
                  <c:v>101.19999999999999</c:v>
                </c:pt>
                <c:pt idx="3">
                  <c:v>51.4</c:v>
                </c:pt>
                <c:pt idx="4">
                  <c:v>54.2</c:v>
                </c:pt>
                <c:pt idx="5">
                  <c:v>38</c:v>
                </c:pt>
                <c:pt idx="6">
                  <c:v>47.9</c:v>
                </c:pt>
                <c:pt idx="7">
                  <c:v>39.700000000000003</c:v>
                </c:pt>
                <c:pt idx="8">
                  <c:v>26.2</c:v>
                </c:pt>
                <c:pt idx="9">
                  <c:v>116.39999999999999</c:v>
                </c:pt>
                <c:pt idx="10">
                  <c:v>58.9</c:v>
                </c:pt>
                <c:pt idx="11">
                  <c:v>135.30000000000001</c:v>
                </c:pt>
                <c:pt idx="12">
                  <c:v>28.3</c:v>
                </c:pt>
                <c:pt idx="13">
                  <c:v>22.5</c:v>
                </c:pt>
                <c:pt idx="14">
                  <c:v>69</c:v>
                </c:pt>
                <c:pt idx="15">
                  <c:v>27</c:v>
                </c:pt>
                <c:pt idx="16">
                  <c:v>81</c:v>
                </c:pt>
                <c:pt idx="17">
                  <c:v>53.6</c:v>
                </c:pt>
                <c:pt idx="18">
                  <c:v>49.3</c:v>
                </c:pt>
                <c:pt idx="19">
                  <c:v>46.9</c:v>
                </c:pt>
                <c:pt idx="20">
                  <c:v>76</c:v>
                </c:pt>
                <c:pt idx="21">
                  <c:v>52</c:v>
                </c:pt>
                <c:pt idx="22">
                  <c:v>32.6</c:v>
                </c:pt>
                <c:pt idx="23">
                  <c:v>73</c:v>
                </c:pt>
                <c:pt idx="24">
                  <c:v>66</c:v>
                </c:pt>
                <c:pt idx="25">
                  <c:v>50</c:v>
                </c:pt>
                <c:pt idx="26">
                  <c:v>55.3</c:v>
                </c:pt>
                <c:pt idx="27">
                  <c:v>77</c:v>
                </c:pt>
                <c:pt idx="28">
                  <c:v>24.5</c:v>
                </c:pt>
                <c:pt idx="29">
                  <c:v>85</c:v>
                </c:pt>
                <c:pt idx="30">
                  <c:v>78</c:v>
                </c:pt>
                <c:pt idx="31">
                  <c:v>30</c:v>
                </c:pt>
                <c:pt idx="32">
                  <c:v>30</c:v>
                </c:pt>
                <c:pt idx="33">
                  <c:v>31</c:v>
                </c:pt>
                <c:pt idx="34">
                  <c:v>30</c:v>
                </c:pt>
                <c:pt idx="35">
                  <c:v>81.7</c:v>
                </c:pt>
                <c:pt idx="36">
                  <c:v>56</c:v>
                </c:pt>
                <c:pt idx="37">
                  <c:v>56</c:v>
                </c:pt>
              </c:numCache>
            </c:numRef>
          </c:val>
          <c:smooth val="0"/>
          <c:extLst>
            <c:ext xmlns:c16="http://schemas.microsoft.com/office/drawing/2014/chart" uri="{C3380CC4-5D6E-409C-BE32-E72D297353CC}">
              <c16:uniqueId val="{00000000-7FDA-492B-BD9B-C79E949EB9CB}"/>
            </c:ext>
          </c:extLst>
        </c:ser>
        <c:dLbls>
          <c:showLegendKey val="0"/>
          <c:showVal val="0"/>
          <c:showCatName val="0"/>
          <c:showSerName val="0"/>
          <c:showPercent val="0"/>
          <c:showBubbleSize val="0"/>
        </c:dLbls>
        <c:smooth val="0"/>
        <c:axId val="207402288"/>
        <c:axId val="207403248"/>
      </c:lineChart>
      <c:catAx>
        <c:axId val="207402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403248"/>
        <c:crosses val="autoZero"/>
        <c:auto val="1"/>
        <c:lblAlgn val="ctr"/>
        <c:lblOffset val="100"/>
        <c:noMultiLvlLbl val="0"/>
      </c:catAx>
      <c:valAx>
        <c:axId val="207403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402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[WEATHER _DATA_ANALYSIS.xlsx]PIVOT TABLE!PivotTable1</c:name>
    <c:fmtId val="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c:f>
              <c:strCache>
                <c:ptCount val="1"/>
                <c:pt idx="0">
                  <c:v>Total</c:v>
                </c:pt>
              </c:strCache>
            </c:strRef>
          </c:tx>
          <c:spPr>
            <a:ln w="28575" cap="rnd">
              <a:solidFill>
                <a:schemeClr val="accent1"/>
              </a:solidFill>
              <a:round/>
            </a:ln>
            <a:effectLst/>
          </c:spPr>
          <c:marker>
            <c:symbol val="none"/>
          </c:marker>
          <c:cat>
            <c:strRef>
              <c:f>'PIVOT TABLE'!$A$3:$A$15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TABLE'!$B$3:$B$15</c:f>
              <c:numCache>
                <c:formatCode>General</c:formatCode>
                <c:ptCount val="12"/>
                <c:pt idx="0">
                  <c:v>131.69999999999999</c:v>
                </c:pt>
                <c:pt idx="1">
                  <c:v>160.1</c:v>
                </c:pt>
                <c:pt idx="2">
                  <c:v>184.6</c:v>
                </c:pt>
                <c:pt idx="3">
                  <c:v>180.39999999999998</c:v>
                </c:pt>
                <c:pt idx="4">
                  <c:v>182.4</c:v>
                </c:pt>
                <c:pt idx="5">
                  <c:v>216.5</c:v>
                </c:pt>
                <c:pt idx="6">
                  <c:v>179.5</c:v>
                </c:pt>
                <c:pt idx="7">
                  <c:v>213.90000000000003</c:v>
                </c:pt>
                <c:pt idx="8">
                  <c:v>165.3</c:v>
                </c:pt>
                <c:pt idx="9">
                  <c:v>171.7</c:v>
                </c:pt>
                <c:pt idx="10">
                  <c:v>166.6</c:v>
                </c:pt>
                <c:pt idx="11">
                  <c:v>133.4</c:v>
                </c:pt>
              </c:numCache>
            </c:numRef>
          </c:val>
          <c:smooth val="0"/>
          <c:extLst>
            <c:ext xmlns:c16="http://schemas.microsoft.com/office/drawing/2014/chart" uri="{C3380CC4-5D6E-409C-BE32-E72D297353CC}">
              <c16:uniqueId val="{00000000-A1E1-45F3-A364-4BB1F9989CFE}"/>
            </c:ext>
          </c:extLst>
        </c:ser>
        <c:dLbls>
          <c:showLegendKey val="0"/>
          <c:showVal val="0"/>
          <c:showCatName val="0"/>
          <c:showSerName val="0"/>
          <c:showPercent val="0"/>
          <c:showBubbleSize val="0"/>
        </c:dLbls>
        <c:smooth val="0"/>
        <c:axId val="1213448736"/>
        <c:axId val="1213465536"/>
      </c:lineChart>
      <c:catAx>
        <c:axId val="1213448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3465536"/>
        <c:crosses val="autoZero"/>
        <c:auto val="1"/>
        <c:lblAlgn val="ctr"/>
        <c:lblOffset val="100"/>
        <c:noMultiLvlLbl val="0"/>
      </c:catAx>
      <c:valAx>
        <c:axId val="1213465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3448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[WEATHER _DATA_ANALYSIS.xlsx]PIVOT TABLE!PivotTable2</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952114036592886E-2"/>
          <c:y val="6.3218390804597707E-2"/>
          <c:w val="0.84047968580198662"/>
          <c:h val="0.61530319485926332"/>
        </c:manualLayout>
      </c:layout>
      <c:barChart>
        <c:barDir val="col"/>
        <c:grouping val="clustered"/>
        <c:varyColors val="0"/>
        <c:ser>
          <c:idx val="0"/>
          <c:order val="0"/>
          <c:tx>
            <c:strRef>
              <c:f>'PIVOT TABLE'!$B$18</c:f>
              <c:strCache>
                <c:ptCount val="1"/>
                <c:pt idx="0">
                  <c:v>Total</c:v>
                </c:pt>
              </c:strCache>
            </c:strRef>
          </c:tx>
          <c:spPr>
            <a:solidFill>
              <a:schemeClr val="accent1"/>
            </a:solidFill>
            <a:ln>
              <a:noFill/>
            </a:ln>
            <a:effectLst/>
          </c:spPr>
          <c:invertIfNegative val="0"/>
          <c:cat>
            <c:strRef>
              <c:f>'PIVOT TABLE'!$A$19:$A$30</c:f>
              <c:strCache>
                <c:ptCount val="11"/>
                <c:pt idx="0">
                  <c:v>Assam</c:v>
                </c:pt>
                <c:pt idx="1">
                  <c:v>Gujarat</c:v>
                </c:pt>
                <c:pt idx="2">
                  <c:v>Karnataka</c:v>
                </c:pt>
                <c:pt idx="3">
                  <c:v>Kerala</c:v>
                </c:pt>
                <c:pt idx="4">
                  <c:v>Maharashtra</c:v>
                </c:pt>
                <c:pt idx="5">
                  <c:v>Odisha</c:v>
                </c:pt>
                <c:pt idx="6">
                  <c:v>Punjab</c:v>
                </c:pt>
                <c:pt idx="7">
                  <c:v>Rajasthan</c:v>
                </c:pt>
                <c:pt idx="8">
                  <c:v>Tamil Nadu</c:v>
                </c:pt>
                <c:pt idx="9">
                  <c:v>Uttar Pradesh</c:v>
                </c:pt>
                <c:pt idx="10">
                  <c:v>West Bengal</c:v>
                </c:pt>
              </c:strCache>
            </c:strRef>
          </c:cat>
          <c:val>
            <c:numRef>
              <c:f>'PIVOT TABLE'!$B$19:$B$30</c:f>
              <c:numCache>
                <c:formatCode>General</c:formatCode>
                <c:ptCount val="11"/>
                <c:pt idx="0">
                  <c:v>657</c:v>
                </c:pt>
                <c:pt idx="1">
                  <c:v>343</c:v>
                </c:pt>
                <c:pt idx="2">
                  <c:v>432</c:v>
                </c:pt>
                <c:pt idx="3">
                  <c:v>781</c:v>
                </c:pt>
                <c:pt idx="4">
                  <c:v>439</c:v>
                </c:pt>
                <c:pt idx="5">
                  <c:v>545</c:v>
                </c:pt>
                <c:pt idx="6">
                  <c:v>185</c:v>
                </c:pt>
                <c:pt idx="7">
                  <c:v>258</c:v>
                </c:pt>
                <c:pt idx="8">
                  <c:v>595</c:v>
                </c:pt>
                <c:pt idx="9">
                  <c:v>366</c:v>
                </c:pt>
                <c:pt idx="10">
                  <c:v>521</c:v>
                </c:pt>
              </c:numCache>
            </c:numRef>
          </c:val>
          <c:extLst>
            <c:ext xmlns:c16="http://schemas.microsoft.com/office/drawing/2014/chart" uri="{C3380CC4-5D6E-409C-BE32-E72D297353CC}">
              <c16:uniqueId val="{00000000-BE9D-4400-A8B9-ECAF99A7AE7F}"/>
            </c:ext>
          </c:extLst>
        </c:ser>
        <c:dLbls>
          <c:showLegendKey val="0"/>
          <c:showVal val="0"/>
          <c:showCatName val="0"/>
          <c:showSerName val="0"/>
          <c:showPercent val="0"/>
          <c:showBubbleSize val="0"/>
        </c:dLbls>
        <c:gapWidth val="182"/>
        <c:axId val="1114869264"/>
        <c:axId val="1114868304"/>
      </c:barChart>
      <c:catAx>
        <c:axId val="1114869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4868304"/>
        <c:crosses val="autoZero"/>
        <c:auto val="1"/>
        <c:lblAlgn val="ctr"/>
        <c:lblOffset val="100"/>
        <c:noMultiLvlLbl val="0"/>
      </c:catAx>
      <c:valAx>
        <c:axId val="1114868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4869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[WEATHER _DATA_ANALYSIS.xlsx]PIVOT TABLE!PivotTable3</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TABLE'!$B$33</c:f>
              <c:strCache>
                <c:ptCount val="1"/>
                <c:pt idx="0">
                  <c:v>Total</c:v>
                </c:pt>
              </c:strCache>
            </c:strRef>
          </c:tx>
          <c:spPr>
            <a:solidFill>
              <a:schemeClr val="accent1"/>
            </a:solidFill>
            <a:ln>
              <a:noFill/>
            </a:ln>
            <a:effectLst/>
          </c:spPr>
          <c:invertIfNegative val="0"/>
          <c:cat>
            <c:strRef>
              <c:f>'PIVOT TABLE'!$A$34:$A$46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TABLE'!$B$34:$B$46</c:f>
              <c:numCache>
                <c:formatCode>General</c:formatCode>
                <c:ptCount val="12"/>
                <c:pt idx="0">
                  <c:v>2728</c:v>
                </c:pt>
                <c:pt idx="1">
                  <c:v>1398</c:v>
                </c:pt>
                <c:pt idx="2">
                  <c:v>1925</c:v>
                </c:pt>
                <c:pt idx="3">
                  <c:v>1696</c:v>
                </c:pt>
                <c:pt idx="4">
                  <c:v>1661</c:v>
                </c:pt>
                <c:pt idx="5">
                  <c:v>2001</c:v>
                </c:pt>
                <c:pt idx="6">
                  <c:v>1944</c:v>
                </c:pt>
                <c:pt idx="7">
                  <c:v>2379</c:v>
                </c:pt>
                <c:pt idx="8">
                  <c:v>1518</c:v>
                </c:pt>
                <c:pt idx="9">
                  <c:v>1173</c:v>
                </c:pt>
                <c:pt idx="10">
                  <c:v>1750</c:v>
                </c:pt>
                <c:pt idx="11">
                  <c:v>1789</c:v>
                </c:pt>
              </c:numCache>
            </c:numRef>
          </c:val>
          <c:extLst>
            <c:ext xmlns:c16="http://schemas.microsoft.com/office/drawing/2014/chart" uri="{C3380CC4-5D6E-409C-BE32-E72D297353CC}">
              <c16:uniqueId val="{00000000-0DE2-4361-B2BD-550CF1DCA790}"/>
            </c:ext>
          </c:extLst>
        </c:ser>
        <c:dLbls>
          <c:showLegendKey val="0"/>
          <c:showVal val="0"/>
          <c:showCatName val="0"/>
          <c:showSerName val="0"/>
          <c:showPercent val="0"/>
          <c:showBubbleSize val="0"/>
        </c:dLbls>
        <c:gapWidth val="182"/>
        <c:axId val="1213503456"/>
        <c:axId val="1213498176"/>
      </c:barChart>
      <c:catAx>
        <c:axId val="1213503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3498176"/>
        <c:crosses val="autoZero"/>
        <c:auto val="1"/>
        <c:lblAlgn val="ctr"/>
        <c:lblOffset val="100"/>
        <c:noMultiLvlLbl val="0"/>
      </c:catAx>
      <c:valAx>
        <c:axId val="12134981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3503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[WEATHER _DATA_ANALYSIS.xlsx]PIVOT TABLE!PivotTable4</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'PIVOT TABLE'!$N$3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126-4CDA-B176-E15012B3ACB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126-4CDA-B176-E15012B3ACB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126-4CDA-B176-E15012B3ACB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126-4CDA-B176-E15012B3ACB2}"/>
              </c:ext>
            </c:extLst>
          </c:dPt>
          <c:cat>
            <c:strRef>
              <c:f>'PIVOT TABLE'!$M$4:$M$8</c:f>
              <c:strCache>
                <c:ptCount val="4"/>
                <c:pt idx="0">
                  <c:v>Autumn</c:v>
                </c:pt>
                <c:pt idx="1">
                  <c:v>Spring</c:v>
                </c:pt>
                <c:pt idx="2">
                  <c:v>Summer</c:v>
                </c:pt>
                <c:pt idx="3">
                  <c:v>Winter</c:v>
                </c:pt>
              </c:strCache>
            </c:strRef>
          </c:cat>
          <c:val>
            <c:numRef>
              <c:f>'PIVOT TABLE'!$N$4:$N$8</c:f>
              <c:numCache>
                <c:formatCode>General</c:formatCode>
                <c:ptCount val="4"/>
                <c:pt idx="0">
                  <c:v>20</c:v>
                </c:pt>
                <c:pt idx="1">
                  <c:v>19</c:v>
                </c:pt>
                <c:pt idx="2">
                  <c:v>20</c:v>
                </c:pt>
                <c:pt idx="3">
                  <c:v>21</c:v>
                </c:pt>
              </c:numCache>
            </c:numRef>
          </c:val>
          <c:extLst>
            <c:ext xmlns:c16="http://schemas.microsoft.com/office/drawing/2014/chart" uri="{C3380CC4-5D6E-409C-BE32-E72D297353CC}">
              <c16:uniqueId val="{00000000-A553-4605-BAAC-3866A29C5E0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[WEATHER _DATA_ANALYSIS.xlsx]PIVOT TABLE!PivotTable6</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TABLE'!$N$15</c:f>
              <c:strCache>
                <c:ptCount val="1"/>
                <c:pt idx="0">
                  <c:v>Total</c:v>
                </c:pt>
              </c:strCache>
            </c:strRef>
          </c:tx>
          <c:spPr>
            <a:ln w="28575" cap="rnd">
              <a:solidFill>
                <a:schemeClr val="accent1"/>
              </a:solidFill>
              <a:round/>
            </a:ln>
            <a:effectLst/>
          </c:spPr>
          <c:marker>
            <c:symbol val="none"/>
          </c:marker>
          <c:cat>
            <c:strRef>
              <c:f>'PIVOT TABLE'!$M$16:$M$54</c:f>
              <c:strCache>
                <c:ptCount val="38"/>
                <c:pt idx="0">
                  <c:v>38</c:v>
                </c:pt>
                <c:pt idx="1">
                  <c:v>39</c:v>
                </c:pt>
                <c:pt idx="2">
                  <c:v>42</c:v>
                </c:pt>
                <c:pt idx="3">
                  <c:v>43</c:v>
                </c:pt>
                <c:pt idx="4">
                  <c:v>44</c:v>
                </c:pt>
                <c:pt idx="5">
                  <c:v>45</c:v>
                </c:pt>
                <c:pt idx="6">
                  <c:v>47</c:v>
                </c:pt>
                <c:pt idx="7">
                  <c:v>48</c:v>
                </c:pt>
                <c:pt idx="8">
                  <c:v>49</c:v>
                </c:pt>
                <c:pt idx="9">
                  <c:v>50</c:v>
                </c:pt>
                <c:pt idx="10">
                  <c:v>52</c:v>
                </c:pt>
                <c:pt idx="11">
                  <c:v>55</c:v>
                </c:pt>
                <c:pt idx="12">
                  <c:v>56</c:v>
                </c:pt>
                <c:pt idx="13">
                  <c:v>57</c:v>
                </c:pt>
                <c:pt idx="14">
                  <c:v>58</c:v>
                </c:pt>
                <c:pt idx="15">
                  <c:v>59</c:v>
                </c:pt>
                <c:pt idx="16">
                  <c:v>60</c:v>
                </c:pt>
                <c:pt idx="17">
                  <c:v>62</c:v>
                </c:pt>
                <c:pt idx="18">
                  <c:v>63</c:v>
                </c:pt>
                <c:pt idx="19">
                  <c:v>64</c:v>
                </c:pt>
                <c:pt idx="20">
                  <c:v>65</c:v>
                </c:pt>
                <c:pt idx="21">
                  <c:v>68</c:v>
                </c:pt>
                <c:pt idx="22">
                  <c:v>69</c:v>
                </c:pt>
                <c:pt idx="23">
                  <c:v>70</c:v>
                </c:pt>
                <c:pt idx="24">
                  <c:v>72</c:v>
                </c:pt>
                <c:pt idx="25">
                  <c:v>74</c:v>
                </c:pt>
                <c:pt idx="26">
                  <c:v>76</c:v>
                </c:pt>
                <c:pt idx="27">
                  <c:v>78</c:v>
                </c:pt>
                <c:pt idx="28">
                  <c:v>79</c:v>
                </c:pt>
                <c:pt idx="29">
                  <c:v>80</c:v>
                </c:pt>
                <c:pt idx="30">
                  <c:v>82</c:v>
                </c:pt>
                <c:pt idx="31">
                  <c:v>83</c:v>
                </c:pt>
                <c:pt idx="32">
                  <c:v>84</c:v>
                </c:pt>
                <c:pt idx="33">
                  <c:v>85</c:v>
                </c:pt>
                <c:pt idx="34">
                  <c:v>86</c:v>
                </c:pt>
                <c:pt idx="35">
                  <c:v>88</c:v>
                </c:pt>
                <c:pt idx="36">
                  <c:v>90</c:v>
                </c:pt>
                <c:pt idx="37">
                  <c:v>92</c:v>
                </c:pt>
              </c:strCache>
            </c:strRef>
          </c:cat>
          <c:val>
            <c:numRef>
              <c:f>'PIVOT TABLE'!$N$16:$N$54</c:f>
              <c:numCache>
                <c:formatCode>General</c:formatCode>
                <c:ptCount val="38"/>
                <c:pt idx="0">
                  <c:v>36</c:v>
                </c:pt>
                <c:pt idx="1">
                  <c:v>19.2</c:v>
                </c:pt>
                <c:pt idx="2">
                  <c:v>101.19999999999999</c:v>
                </c:pt>
                <c:pt idx="3">
                  <c:v>51.4</c:v>
                </c:pt>
                <c:pt idx="4">
                  <c:v>54.2</c:v>
                </c:pt>
                <c:pt idx="5">
                  <c:v>38</c:v>
                </c:pt>
                <c:pt idx="6">
                  <c:v>47.9</c:v>
                </c:pt>
                <c:pt idx="7">
                  <c:v>39.700000000000003</c:v>
                </c:pt>
                <c:pt idx="8">
                  <c:v>26.2</c:v>
                </c:pt>
                <c:pt idx="9">
                  <c:v>116.39999999999999</c:v>
                </c:pt>
                <c:pt idx="10">
                  <c:v>58.9</c:v>
                </c:pt>
                <c:pt idx="11">
                  <c:v>135.30000000000001</c:v>
                </c:pt>
                <c:pt idx="12">
                  <c:v>28.3</c:v>
                </c:pt>
                <c:pt idx="13">
                  <c:v>22.5</c:v>
                </c:pt>
                <c:pt idx="14">
                  <c:v>69</c:v>
                </c:pt>
                <c:pt idx="15">
                  <c:v>27</c:v>
                </c:pt>
                <c:pt idx="16">
                  <c:v>81</c:v>
                </c:pt>
                <c:pt idx="17">
                  <c:v>53.6</c:v>
                </c:pt>
                <c:pt idx="18">
                  <c:v>49.3</c:v>
                </c:pt>
                <c:pt idx="19">
                  <c:v>46.9</c:v>
                </c:pt>
                <c:pt idx="20">
                  <c:v>76</c:v>
                </c:pt>
                <c:pt idx="21">
                  <c:v>52</c:v>
                </c:pt>
                <c:pt idx="22">
                  <c:v>32.6</c:v>
                </c:pt>
                <c:pt idx="23">
                  <c:v>73</c:v>
                </c:pt>
                <c:pt idx="24">
                  <c:v>66</c:v>
                </c:pt>
                <c:pt idx="25">
                  <c:v>50</c:v>
                </c:pt>
                <c:pt idx="26">
                  <c:v>55.3</c:v>
                </c:pt>
                <c:pt idx="27">
                  <c:v>77</c:v>
                </c:pt>
                <c:pt idx="28">
                  <c:v>24.5</c:v>
                </c:pt>
                <c:pt idx="29">
                  <c:v>85</c:v>
                </c:pt>
                <c:pt idx="30">
                  <c:v>78</c:v>
                </c:pt>
                <c:pt idx="31">
                  <c:v>30</c:v>
                </c:pt>
                <c:pt idx="32">
                  <c:v>30</c:v>
                </c:pt>
                <c:pt idx="33">
                  <c:v>31</c:v>
                </c:pt>
                <c:pt idx="34">
                  <c:v>30</c:v>
                </c:pt>
                <c:pt idx="35">
                  <c:v>81.7</c:v>
                </c:pt>
                <c:pt idx="36">
                  <c:v>56</c:v>
                </c:pt>
                <c:pt idx="37">
                  <c:v>56</c:v>
                </c:pt>
              </c:numCache>
            </c:numRef>
          </c:val>
          <c:smooth val="0"/>
          <c:extLst>
            <c:ext xmlns:c16="http://schemas.microsoft.com/office/drawing/2014/chart" uri="{C3380CC4-5D6E-409C-BE32-E72D297353CC}">
              <c16:uniqueId val="{00000000-DC51-4FED-859C-A15BCA1BDE64}"/>
            </c:ext>
          </c:extLst>
        </c:ser>
        <c:dLbls>
          <c:showLegendKey val="0"/>
          <c:showVal val="0"/>
          <c:showCatName val="0"/>
          <c:showSerName val="0"/>
          <c:showPercent val="0"/>
          <c:showBubbleSize val="0"/>
        </c:dLbls>
        <c:smooth val="0"/>
        <c:axId val="207402288"/>
        <c:axId val="207403248"/>
      </c:lineChart>
      <c:catAx>
        <c:axId val="207402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403248"/>
        <c:crosses val="autoZero"/>
        <c:auto val="1"/>
        <c:lblAlgn val="ctr"/>
        <c:lblOffset val="100"/>
        <c:noMultiLvlLbl val="0"/>
      </c:catAx>
      <c:valAx>
        <c:axId val="207403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402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[WEATHER _DATA_ANALYSIS.xlsx]PIVOT TABLE!PivotTable1</c:name>
    <c:fmtId val="2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c:f>
              <c:strCache>
                <c:ptCount val="1"/>
                <c:pt idx="0">
                  <c:v>Total</c:v>
                </c:pt>
              </c:strCache>
            </c:strRef>
          </c:tx>
          <c:spPr>
            <a:ln w="28575" cap="rnd">
              <a:solidFill>
                <a:schemeClr val="accent1"/>
              </a:solidFill>
              <a:round/>
            </a:ln>
            <a:effectLst/>
          </c:spPr>
          <c:marker>
            <c:symbol val="none"/>
          </c:marker>
          <c:cat>
            <c:strRef>
              <c:f>'PIVOT TABLE'!$A$3:$A$15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TABLE'!$B$3:$B$15</c:f>
              <c:numCache>
                <c:formatCode>General</c:formatCode>
                <c:ptCount val="12"/>
                <c:pt idx="0">
                  <c:v>131.69999999999999</c:v>
                </c:pt>
                <c:pt idx="1">
                  <c:v>160.1</c:v>
                </c:pt>
                <c:pt idx="2">
                  <c:v>184.6</c:v>
                </c:pt>
                <c:pt idx="3">
                  <c:v>180.39999999999998</c:v>
                </c:pt>
                <c:pt idx="4">
                  <c:v>182.4</c:v>
                </c:pt>
                <c:pt idx="5">
                  <c:v>216.5</c:v>
                </c:pt>
                <c:pt idx="6">
                  <c:v>179.5</c:v>
                </c:pt>
                <c:pt idx="7">
                  <c:v>213.90000000000003</c:v>
                </c:pt>
                <c:pt idx="8">
                  <c:v>165.3</c:v>
                </c:pt>
                <c:pt idx="9">
                  <c:v>171.7</c:v>
                </c:pt>
                <c:pt idx="10">
                  <c:v>166.6</c:v>
                </c:pt>
                <c:pt idx="11">
                  <c:v>133.4</c:v>
                </c:pt>
              </c:numCache>
            </c:numRef>
          </c:val>
          <c:smooth val="0"/>
          <c:extLst>
            <c:ext xmlns:c16="http://schemas.microsoft.com/office/drawing/2014/chart" uri="{C3380CC4-5D6E-409C-BE32-E72D297353CC}">
              <c16:uniqueId val="{00000000-6060-4BBD-B16E-9CD125B7CD7A}"/>
            </c:ext>
          </c:extLst>
        </c:ser>
        <c:dLbls>
          <c:showLegendKey val="0"/>
          <c:showVal val="0"/>
          <c:showCatName val="0"/>
          <c:showSerName val="0"/>
          <c:showPercent val="0"/>
          <c:showBubbleSize val="0"/>
        </c:dLbls>
        <c:smooth val="0"/>
        <c:axId val="1213448736"/>
        <c:axId val="1213465536"/>
      </c:lineChart>
      <c:catAx>
        <c:axId val="1213448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3465536"/>
        <c:crosses val="autoZero"/>
        <c:auto val="1"/>
        <c:lblAlgn val="ctr"/>
        <c:lblOffset val="100"/>
        <c:noMultiLvlLbl val="0"/>
      </c:catAx>
      <c:valAx>
        <c:axId val="1213465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3448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[WEATHER _DATA_ANALYSIS.xlsx]PIVOT TABLE!PivotTable2</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TABLE'!$B$18</c:f>
              <c:strCache>
                <c:ptCount val="1"/>
                <c:pt idx="0">
                  <c:v>Total</c:v>
                </c:pt>
              </c:strCache>
            </c:strRef>
          </c:tx>
          <c:spPr>
            <a:solidFill>
              <a:schemeClr val="accent1"/>
            </a:solidFill>
            <a:ln>
              <a:noFill/>
            </a:ln>
            <a:effectLst/>
          </c:spPr>
          <c:invertIfNegative val="0"/>
          <c:cat>
            <c:strRef>
              <c:f>'PIVOT TABLE'!$A$19:$A$30</c:f>
              <c:strCache>
                <c:ptCount val="11"/>
                <c:pt idx="0">
                  <c:v>Assam</c:v>
                </c:pt>
                <c:pt idx="1">
                  <c:v>Gujarat</c:v>
                </c:pt>
                <c:pt idx="2">
                  <c:v>Karnataka</c:v>
                </c:pt>
                <c:pt idx="3">
                  <c:v>Kerala</c:v>
                </c:pt>
                <c:pt idx="4">
                  <c:v>Maharashtra</c:v>
                </c:pt>
                <c:pt idx="5">
                  <c:v>Odisha</c:v>
                </c:pt>
                <c:pt idx="6">
                  <c:v>Punjab</c:v>
                </c:pt>
                <c:pt idx="7">
                  <c:v>Rajasthan</c:v>
                </c:pt>
                <c:pt idx="8">
                  <c:v>Tamil Nadu</c:v>
                </c:pt>
                <c:pt idx="9">
                  <c:v>Uttar Pradesh</c:v>
                </c:pt>
                <c:pt idx="10">
                  <c:v>West Bengal</c:v>
                </c:pt>
              </c:strCache>
            </c:strRef>
          </c:cat>
          <c:val>
            <c:numRef>
              <c:f>'PIVOT TABLE'!$B$19:$B$30</c:f>
              <c:numCache>
                <c:formatCode>General</c:formatCode>
                <c:ptCount val="11"/>
                <c:pt idx="0">
                  <c:v>657</c:v>
                </c:pt>
                <c:pt idx="1">
                  <c:v>343</c:v>
                </c:pt>
                <c:pt idx="2">
                  <c:v>432</c:v>
                </c:pt>
                <c:pt idx="3">
                  <c:v>781</c:v>
                </c:pt>
                <c:pt idx="4">
                  <c:v>439</c:v>
                </c:pt>
                <c:pt idx="5">
                  <c:v>545</c:v>
                </c:pt>
                <c:pt idx="6">
                  <c:v>185</c:v>
                </c:pt>
                <c:pt idx="7">
                  <c:v>258</c:v>
                </c:pt>
                <c:pt idx="8">
                  <c:v>595</c:v>
                </c:pt>
                <c:pt idx="9">
                  <c:v>366</c:v>
                </c:pt>
                <c:pt idx="10">
                  <c:v>521</c:v>
                </c:pt>
              </c:numCache>
            </c:numRef>
          </c:val>
          <c:extLst>
            <c:ext xmlns:c16="http://schemas.microsoft.com/office/drawing/2014/chart" uri="{C3380CC4-5D6E-409C-BE32-E72D297353CC}">
              <c16:uniqueId val="{00000000-BCF8-4845-B30E-343FE143893E}"/>
            </c:ext>
          </c:extLst>
        </c:ser>
        <c:dLbls>
          <c:showLegendKey val="0"/>
          <c:showVal val="0"/>
          <c:showCatName val="0"/>
          <c:showSerName val="0"/>
          <c:showPercent val="0"/>
          <c:showBubbleSize val="0"/>
        </c:dLbls>
        <c:gapWidth val="182"/>
        <c:axId val="1114869264"/>
        <c:axId val="1114868304"/>
      </c:barChart>
      <c:catAx>
        <c:axId val="1114869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4868304"/>
        <c:crosses val="autoZero"/>
        <c:auto val="1"/>
        <c:lblAlgn val="ctr"/>
        <c:lblOffset val="100"/>
        <c:noMultiLvlLbl val="0"/>
      </c:catAx>
      <c:valAx>
        <c:axId val="1114868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4869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[WEATHER _DATA_ANALYSIS.xlsx]PIVOT TABLE!PivotTable4</c:name>
    <c:fmtId val="1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s>
    <c:plotArea>
      <c:layout/>
      <c:doughnutChart>
        <c:varyColors val="1"/>
        <c:ser>
          <c:idx val="0"/>
          <c:order val="0"/>
          <c:tx>
            <c:strRef>
              <c:f>'PIVOT TABLE'!$N$3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37B-4121-B501-57355B397FA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37B-4121-B501-57355B397FA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37B-4121-B501-57355B397FA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37B-4121-B501-57355B397FAC}"/>
              </c:ext>
            </c:extLst>
          </c:dPt>
          <c:cat>
            <c:strRef>
              <c:f>'PIVOT TABLE'!$M$4:$M$8</c:f>
              <c:strCache>
                <c:ptCount val="4"/>
                <c:pt idx="0">
                  <c:v>Autumn</c:v>
                </c:pt>
                <c:pt idx="1">
                  <c:v>Spring</c:v>
                </c:pt>
                <c:pt idx="2">
                  <c:v>Summer</c:v>
                </c:pt>
                <c:pt idx="3">
                  <c:v>Winter</c:v>
                </c:pt>
              </c:strCache>
            </c:strRef>
          </c:cat>
          <c:val>
            <c:numRef>
              <c:f>'PIVOT TABLE'!$N$4:$N$8</c:f>
              <c:numCache>
                <c:formatCode>General</c:formatCode>
                <c:ptCount val="4"/>
                <c:pt idx="0">
                  <c:v>20</c:v>
                </c:pt>
                <c:pt idx="1">
                  <c:v>19</c:v>
                </c:pt>
                <c:pt idx="2">
                  <c:v>20</c:v>
                </c:pt>
                <c:pt idx="3">
                  <c:v>21</c:v>
                </c:pt>
              </c:numCache>
            </c:numRef>
          </c:val>
          <c:extLst>
            <c:ext xmlns:c16="http://schemas.microsoft.com/office/drawing/2014/chart" uri="{C3380CC4-5D6E-409C-BE32-E72D297353CC}">
              <c16:uniqueId val="{00000008-637B-4121-B501-57355B397FA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[WEATHER _DATA_ANALYSIS.xlsx]PIVOT TABLE!PivotTable3</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283638016754267"/>
          <c:y val="7.9725136605804325E-2"/>
          <c:w val="0.75055633365369601"/>
          <c:h val="0.82959615216358407"/>
        </c:manualLayout>
      </c:layout>
      <c:barChart>
        <c:barDir val="bar"/>
        <c:grouping val="clustered"/>
        <c:varyColors val="0"/>
        <c:ser>
          <c:idx val="0"/>
          <c:order val="0"/>
          <c:tx>
            <c:strRef>
              <c:f>'PIVOT TABLE'!$B$33</c:f>
              <c:strCache>
                <c:ptCount val="1"/>
                <c:pt idx="0">
                  <c:v>Total</c:v>
                </c:pt>
              </c:strCache>
            </c:strRef>
          </c:tx>
          <c:spPr>
            <a:solidFill>
              <a:schemeClr val="accent1"/>
            </a:solidFill>
            <a:ln>
              <a:noFill/>
            </a:ln>
            <a:effectLst/>
          </c:spPr>
          <c:invertIfNegative val="0"/>
          <c:cat>
            <c:strRef>
              <c:f>'PIVOT TABLE'!$A$34:$A$46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TABLE'!$B$34:$B$46</c:f>
              <c:numCache>
                <c:formatCode>General</c:formatCode>
                <c:ptCount val="12"/>
                <c:pt idx="0">
                  <c:v>2728</c:v>
                </c:pt>
                <c:pt idx="1">
                  <c:v>1398</c:v>
                </c:pt>
                <c:pt idx="2">
                  <c:v>1925</c:v>
                </c:pt>
                <c:pt idx="3">
                  <c:v>1696</c:v>
                </c:pt>
                <c:pt idx="4">
                  <c:v>1661</c:v>
                </c:pt>
                <c:pt idx="5">
                  <c:v>2001</c:v>
                </c:pt>
                <c:pt idx="6">
                  <c:v>1944</c:v>
                </c:pt>
                <c:pt idx="7">
                  <c:v>2379</c:v>
                </c:pt>
                <c:pt idx="8">
                  <c:v>1518</c:v>
                </c:pt>
                <c:pt idx="9">
                  <c:v>1173</c:v>
                </c:pt>
                <c:pt idx="10">
                  <c:v>1750</c:v>
                </c:pt>
                <c:pt idx="11">
                  <c:v>1789</c:v>
                </c:pt>
              </c:numCache>
            </c:numRef>
          </c:val>
          <c:extLst>
            <c:ext xmlns:c16="http://schemas.microsoft.com/office/drawing/2014/chart" uri="{C3380CC4-5D6E-409C-BE32-E72D297353CC}">
              <c16:uniqueId val="{00000000-1A9F-4E38-B2BF-15D588E3D2A2}"/>
            </c:ext>
          </c:extLst>
        </c:ser>
        <c:dLbls>
          <c:showLegendKey val="0"/>
          <c:showVal val="0"/>
          <c:showCatName val="0"/>
          <c:showSerName val="0"/>
          <c:showPercent val="0"/>
          <c:showBubbleSize val="0"/>
        </c:dLbls>
        <c:gapWidth val="182"/>
        <c:axId val="1213503456"/>
        <c:axId val="1213498176"/>
      </c:barChart>
      <c:catAx>
        <c:axId val="1213503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3498176"/>
        <c:crosses val="autoZero"/>
        <c:auto val="1"/>
        <c:lblAlgn val="ctr"/>
        <c:lblOffset val="100"/>
        <c:noMultiLvlLbl val="0"/>
      </c:catAx>
      <c:valAx>
        <c:axId val="12134981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3503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DEF9B183-B7EA-4815-974A-52A56330EE90}">
          <cx:dataId val="0"/>
          <cx:layoutPr>
            <cx:geography cultureLanguage="en-US" cultureRegion="IN" attribution="Powered by Bing">
              <cx:geoCache provider="{E9337A44-BEBE-4D9F-B70C-5C5E7DAFC167}">
                <cx:binary>1Htrc922luVfSfnz0AHxInCr01UNkuehtyVLlv2FJUsyHyABAuD71892nNyJFXWSrslUTU6V7ZLO
wQGwF/beay3Q//G4/OuxfX7wPyxda8K/Hpef3lTD0P/rxx/DY/XcPYS3Xf3obbBfhrePtvvRfvlS
Pz7/+OQf5tqUP2IU0x8fqwc/PC9v/vM/4NvKZ3tmHx+G2pp347Nfr5/D2A7hD9579a0fHp662mR1
GHz9OMQ/vTl99g/tw5sfns1QD+v7tX/+6c13n3nzw48vv+l3s/7QwsKG8QnGxugtpVIkSULf/NBa
U/7y+4S/pUhgTmOOfn7hX+e8eOhg3J+v4+dVPDw9+ecQYBs///t/xn23Zvj12ZsfHu1ohq+RKiFo
P705mqcaNloHm357I7VfF3y8+HmHP34f4//8jxe/gD2/+M1vYHgZoD9763conD8A1g+hGvzfCYV8
SxlGgjD5LeTxS0RiJCTBVH57se8R+Ytreh2W7wa/wOb88I/C5v1DV7c/XDw8jb/G52/IkvgtinmM
kBDfYyIgSxKEEUt+nexbevy1RbyOxW/HvoDiPRz+f1CaXD80D2GoHsyvwfm/RwLzt0xQQrH8pS69
SBLyVnzND0GTbzlEfp36Gy5/aUWvw/KboS9QuT75R6Hy4TkMP6hnUz60vwbnb8AFAs9ozFACmfCb
PiKStzLBXFLyetX6i4t5HZLvBr8A5YP6R4HyXyE8dH8jHPwtYZQIGYtf4v4dKhK/FTiBPiN/geVF
mvzpal7H45dhL5D4r5t/FBJXo2kePv99UBAEJQnHTOLvMyNhb4FcCSRR8g2iFxj8+TpeB+HXcS9Q
uPpn5cPlUx2qv5FcYfSWxQRRCuzq2+u7hBD0LcVQwAjA8fPrBbn68+W8Dsav416AcXn9j0qJ22EA
aXTlH56eQ/X3ZQb0cokJ4zEQq59f3/dyAZBxThgWrxepv7yq16F5MfwFQrdX/yiE9mMDgmT4G7HB
b7nEPE4ofg2bJH7LZIIAul/Sif869Tee9RfW8zoq/x74Ao/9P4tjnT548zA86L+xgsX0bRIjiul/
gwh/G/NExoy8ni1/aUWvY/KboS9QOf2v/6+z5HWp9Fvr5LtP/A+tE4yBY2EGuvAXrfF9+UrkW8IJ
pwl9PUV+8Tf++9W8DsYvw75b+P9js+S/N1L+7SxlcNjzny2p33gpf/zuz9sDm+zF0D9ytr7F6vj0
0xvytfL8Bq+vX/LLyG8F6Dtp8LtxzyBLf3oj0VvEqUAg4ZOYgqoEcT+DOPrpjWDAjyXhgkkgDfA3
mGPG+qH66Q1O3mICmh9o21dKlxB4K9jx57egKFIUY5GgRAgGpfPfXuCVbdfSmn9H5JeffzBjd2Vr
M4Sf3kAF7b996usGE8ol9D1QTnDG4iThHBbXPz5cg90IH47/V0Kj0rWCi72vRr1zqJFqKnmdsVoL
NZj1+JvwvDJdDHTz5Xw0jjFNEoiIhI18P1+Dl4KAYEj2sQ7lvsS6eQYd7t5NsenzZZ3mrCu24NQI
nwpqWychVVOx8W7zRZvOEya3eirElP3JuiCLfrcuLJCgiGEsWYK/X5cMoabN2on9jNtPg4F1xHMk
VLKxAx7oiZSb3duW+F1Rt0tWrefMjwi6yb9t0leCA5j+bg0kBnMOQUskmL1YgxaOF0szin1fL25f
6FCciLi27/94llcQh+IumEiITECZfX3/t4hDkJtqa8SeWHZgev4ALkd9mOu2V24O858E9pU9MYJg
NzRhmMJB+n42j32MlkbIvTQJ3y1iaVUz9vhPZoGkfBk5CRkBlJsjOMP4xanChY7dzIpkz6oOtqHX
WZl2vJ7Abv8fB0/GFGqxhP0Izl9MxKINIvr1+BY1QqqLmi9zvblUE3NFGv3NVP7mKb9yHl5BSsac
gJYglCGGXky2jNTaJNBkbwlFaStiqqoJ66zbeJsuDT/88d7wVyxe1AKJY0EIhYoAdeoFVnUs6OaT
Mtm7iGrlJyvP5qRA121c8aPtKp31xvFdNcz4sNnG7mLUFZ95S4yazeKuGy38nphuyojmRawQc33K
iWgzxrbtasB912eiMtIdx8bUKek6MSjfb9Wk7OzmtB+2OBtZwyeFGv7Od51/98d7jF/Jc8kkxxIj
qMW/O4+zqfHM1jrZl6bCx4ZF4rhODKXJxG6j1ez6pghH48svCan6nGKN388lFX8S6tfOq4TKTSV0
dUboi0j7ZqWGFa3ct+1IjwutLwziUsWo4ukfb/j3M4HUhP4B8kYwiPWLmaq+CrNspNgnRd2lyyiE
8rb7FCqE8z+eCU7m7w+sBJc6RpiAAk6+vf+b0uK6mEQJDsmeygnneorqg4eKf4URX655BAcBu+F9
qZcub8Zh1dkgkEsLbvpZabvMBxn6dr8miRxVGBm/GeuJPbDJicPMm6FNiRvXGxkGejYMkz3VVVfv
ja/WTvXx2Cy7VkiWujF2KeqS8YjkKg59RflOerPuIxdc5r3DOWFexvBB1MaKlZYV+3nALi27uDgf
q4ZdGhYvTRqqwPNyWnA2JaK+LFDXPKyu6Y50knOOWrkdVskiZSeXHLUbkvuabPRyxrDxLdCQRgVq
FZOenwiEi/O4WTOpB5K3Rd8dK1b7NHSxVXYZ+/cU+/4ej6Z/ECUSqqycwapaXZEaO4c8MdO6M9K0
hxoNzU2EencpUCecWpJ+zrRfNq+Wmbj7fpmKcz9VxV0lt3o/dU488jksVhWIfNRR88G0WJZKR5af
NoO/JNKTi6SrMofqA6FRdzBTTHqoACW+jmNhgyIVF6eIknC5TStS5eD4Pjiv97CdPhWTbFTRujoL
mx3bk8nWC1JQpdYzOUoAs9ZjN2YjLsYkHSNX71s3T89AmSAmMzFnVWV6ZdsxvnBDUUDICB6PztLw
IQ5mumNUNC7rWB+4KjySd0Db1kExI4db0Xb0OI5oSmfnotRzRs/cxLvcOlQEVZeiL1K3QetXuoy7
QjUttWOmJ1EfcCn9zgjAG4cJwjdFgT0UXM9ZCdhCEZriOqc9Yx+rHq+nicT0I6kcmpRAurqcSoeY
EpOGecSIgkiheCxQOenqudLdLO/mwIb2jpDWqAmh5tGxBvaQFAxOvJyacNNSIEJZV819XgHFOemC
T9uYJl+2kqyNQiMwtQwNpGj2AvfNpho9rmdYd+5k4wO3Wd3OK6RQiVRVLHyPNyA4CupB9xlMj0mq
0hZRJql3Ry+7RJFSj4epQMs536KyVg0t5d7aaPMp0l2XCVNc6HEpD4zYqVKLiWG91eyJVZUYeJ12
mFdSRVG9neHZ78YpdieVZP60HEx3Q8w8pLped0ufVO8xkkte1/2wC7C2wxzZcifdIA+CoQ7wXbqs
5Aucj3bTsNSqHfkusWV8NxGRnJLVPduYubwefQ381LlPspA8BoJK3DGKvVc8anCq8TTWKt7YvI8E
p5lrNUQfCX0uRiPTalmrY2W8gL2yUpFQdw/Il81FY+L5IIgvnjTZWKF0M8/vpgb1WQsQ3xQJQYem
jtp8XqdqHy3QhYGK+seJdcM7LMN6kHPU7X0YRe5wGe8EIpHqsNwtExDEZYvpaYHnJl+ScVZ+bKia
+pOS1eI0WOGGtNtmEAqhFGnRFLflOtFT5+PyMtIrPvV+kA+14OQWb2zI27IkTPnCj8DKfXGAy0J7
qLqhzhdWQyqIqDypdTxlvAdy3GFWnZb9dC+EDyfCIp1C11vVPI7jwRebOR9aJsa0p/OWWVNTVXLf
tCqJ2ialY2OzpQPiTdh2EYir8qlJthvsknDeb7r+vNRQcVGEmxTafL13Ti9XYbLzscFRcd+XqFSj
3uQtd3TLF79GmVmT7byUzf3IJd/b0C2pNEVIS35VtN01Qro9dlXHj/NItCp0k5XbNO3bUUQ7S/j8
bGYzYKV73W2Qa1F8v0hHzmkbzueiCpnomzJdZrSmmK7xWTsQWiouqnbn20RnrLXzzlLZqxAPIChi
3qvN++m6CL2pd54mQbXDhlVjoi8LD6qbE/YeSNK2H13lFLOQynBzu49jzvJ5tvE5NcO7vvZnpDGr
SuKoTzeo4PuiMA+xtT6tYOfEayhApVWODosKSciqeqP5gucpJeNMLtw8FtcGFV2eFOV62gh6Tu1k
MimiTS2EL7t5Ht2nQhYiTdbYpnzdrjhzYtfMhs+KLzO/N0m15HFbrrvEFZqkApVFnVITzUCrVtPf
Ai9b3mFTk0PLSbH39dymMRSbi7pDvYpdJG8q2O9HL+fJZ3ppPUSDd3yBcu6aRcXtaJMscbZAOVu9
nnJuISIqyC25apnhLXSrzX+YKh8+4wgXKHWJ9OOxbNZF7LjpTDqE7cuKa6PKmms1J+NDt7X2CF+3
qUEsYddQT1PwAV0W1vYaan+GoPhcQBK6/daEIsVE6o8YEXeCy6JU8bhtKl5nl+m2rHZ1rVcFFyGQ
xrM/9VuxXCYtvZtwjbJSRreknfuUQJO/4pEVu7AVjU51FZtEFXyGk6tDm24JdTeYo5ukDu5g+yZS
ctjQYQi6OVnWQA+dG8fjWDQVVPnRuD1ncCgmh/G+tC3fQ0mJ8sIHpOYet2fr0OGrsW/rzKDKfLSC
htxRlhfR2pwaD9ViCdJ+gYZU542Z28PG0XRbxig2ab2w+dm3G6PKItNljQ+b2jaJgDOydRdFwh5E
a7vjXIcvFmN7ssxFfENi6XYerVe1n/TJujGWWkmWUcVxNN1NWpdf2KZ9XgE2l06s6JgwV+wiI/31
xtpyF7riyUs3XsQmKndtLc0JF02toTyO+rBMaNnPjV3TsXBNPnTonduoSAOp8G4T07LbCkZrVdLS
nDQMToJYMNrFZBzUgpttZ5dan9K1lq0aurGe00UPczqywj7iBbenhcF62JkBIiJ50+4LI+MjraxQ
fcVPNR3vV7/Y88UuF0trwxPr+vHM9aTPyrhdUtCGFyOxIZcFXIWSwNm+Q246dmzdaxvdmWLVWo1b
X+bOFObEFl2TV/1SZuXIu9slLMOFTGa7R9AED0tfnpi187e0r4QylcCZk5N/cmbeoHMDKVC4tnVq
x3LOegy1WVteXiS9Kd/FkzFpQD1XosORVgS1NgMjY7paKv+hX82gbDSeVXhq026dc1tB3d4G3eft
uGTeLqJWk932kxymtMWTClufnOMt7mDOun4HxJ55VTZFtm5FXypDBFbdYu5CE9W7PjH5pNGj4fVh
nOPh2I6rV0kV8IHYpMxFPEEXJgs9DDXb9m1k1CiTXbAs2a18XWvV95E4kXZpMkzq5EDa99MSdZkb
dZyBhMqMK/s9UHmdi1KWOa+aYl9Nst4TmF/5jj0OjhX3SccH1SPI5nnl+dZsh6F3t+sQhArTejJE
451o8HRVTVsGof0ohwh6dBU9itreYaLPTc1vygk6VN3Fl+2SPJf62c9i2ru6HhWqy/cDHyvVuf6k
Z8lZzeLzCG9j2iZjOGt9dObhBJ1RJPW+mIl4tEvS7ErcpdClUiP6aU+46z5s5AmsuHYnsIvTeG66
tHV9q0a2RgBgqN+Ptg5Qxcyt38Qddw38cQ+6Lz4tlp1VcfuRYjacho76dGx9szNddVtheWBd934W
zUeD3bEfaJuyYC4I17B2PFnF+2nOx2kt1dDYWeFobDLKwL+oHD4aM7vdzNvrBrLq2DbVZ7Adjnxe
s0g4piIcq8FNU+aaqjjwGE+XRpbscu2T8Dy0rQTTjB11EXUnsmZ8NxXztu/m4rMmCQhzkPvvB0cr
qMYFgpSNGH+strjfdYGmZdGxnZeoPVl1i1JczNVXKsVdTsmapFUrxiwspslELL2Sxpxj6pc0mAW4
Sl9IEPcz3UclSIQw1xpUfQQcBjbc4EZDKRgLJSg12WYBb9CtVs1RciN4eUnJXKcc+09Tt+3CADzf
cGCfncajYgXU/L4EQk/kdbWRc9IUH4bVXHS8oMosgHsZ9Ug1SeuPVbX10PTNLRrokvqJKLw0/X0T
TzaLk6ZXtf2cRPQDb9GQbh569toHAM3rux6T8Wptp+5uATNUrYy1Bz+X8YFu2OZ9Ua2qd6F5qKdx
2Fe06qCk2OYkMcirNXFR5roZuG3iP5l4nPaUc9gpambVNdMli92qqo7YfCPt+CVZK3JZ2wXYHSft
bkXI7iK5DNmq0bkBzbJrQP+czKYAcsRtyrC/8gMIDNYLd1/1Edubqhj3YLHcuLG0u6J3KZvKCwH0
8DK4aMwXqB05lQU/txJrIP0L6OY69u5iw8goXy96hziIY2H8B6KbLR8FQTtce5SXxSDTZObLexwZ
kC6mBy7pZ7QrbWIfF9jUSeKTNuMLQIrjsT/gKhr30G/RRe8qdCytNiedO5h1a3JuLD5Hq2vzMozN
uSaC3oXY8juxsOdiiXGGsZn2VUvQh3Zqh4OJm+im7yf/eYazfTV4wc/XmvRpQ0i074dq2i/dUqVz
K8MFG0OXU7BxsqSqEoVc7Us1A5s3wPtCcousTqOxHMgOxTUcwwAeX9qS0CE1Vv14DF2L1ILaj6sD
qliC4/VYlJXJaxevaeWBCg0gkfeyYQS86ga4UoPGA3eGZY3h/KT3w/px3NYMBBPPW0jfHQrxeCxo
Q/K5YXPmu3K5qhFrgC3q/iRJqikzgb+rwIhKpw4Q31YpD3hi8W4BL0WrZh73Fof6nC7eHxvU5kbO
y05CooOW6vypbeopb2oPvJKR7lzOIxBc01Yp0/GcTVtRHftt8vtxwXzftQM7hXnWfKx1td8Yng6F
nsVJIWQBnot1GamBzYMAu5kDJp+0aeKUL8PTIsl8H+vyk0m29twtVfGhrbcnkOP+Ws6urVTpozGt
ozHsYu2n0wiFW4zZB5g2nBgvjxUfaR4qoMOBrmvqC7Dc8BLqAED56gKjCLwh4wPJuxGBF9RFMbiO
NU9LYeD4WNvvWGWLcgeij34YSx9ncAT7D1MDbbrQdlDCjJNylQVttTbcvAOvwtz20SxTL6v+odEV
ua6nGl1h50herSANFd9qf6Wx/OzaTl6DH8fTPiKD6mhv07nYmnSQCQGDaUzOdDD+zFincy4XfZwW
A5aoK3juItvto6gyaR+EUSSJ65O1WjcQZt4mSsR2ThuzfZoDRYdyK9f7yvpFtU3jweHgn5PFNkAO
5JpSEpd56Eh/2ZLCpnpa6zM+gdKCZ3abIxy/d5LyPlbelO6wlKQ6KyfT5Ju19SmeprpVkQZH9bRd
xjZRdCTTu7VB9GlqZodPok2v+2lOiEgJ35L72CxI53ROFpb7saq/WDhkSUr6tenPqhIeDd86mSRp
iyJf5CJaBppR7dv7mbMxj9YZlN42bO8RLum+n1rojqumGdya3DR8hJopvX7sClftGhEvmViWMkeG
h1SHnt0W2pzqYboQXexPWrjhVFZD74Bcbbdz4zuZN4kgsItkC6OqjKvUkLT2Dibyt/CEvb3XX2tn
bLsLawa9a0yfnLFKxrs2nisoc2IwH3vbk5OBdTjfaGLXjFpXHGJWTLezW7cbXUzufa0JPUedRPkc
UaSQiVa1Rg247KHt20Pcy8XD1PWYua3YuBrWGGpih6D/RrYVndpkN6VlMkd5nVhHFa2iJm2Hsdi5
pAQvfXW6yLSGZqCScYx6xV1od1Ex9w9cS8y+YqLfJ1B/LsZOwJP+hkWdKkBM7kcItTiD/l3pXY39
dcECVC99zYXs9nKqlpSBf6l6icrzmY1XtIxZBk7OlIZi4mqbogsw3BNVF3MapgIKL9wj7CI2e+V1
7/bJVGZ93fTpyGkqoyhk0aJZrybp9DkrG6e0C3eJq5sqqzSJQCD0/IGDlDrISeDU+2LIZzn0cFc2
jNcgKQvI/67Zd1XE88X1sKqhup9X6H6YjUsexRrtwfp42gKmR7NMm7LbfDeu1cHNw7wHpzZWUhTo
KmATciIFUmaMdNrWCT2YwbTpWml3QkR9zQcz5naaTgqKliiF0xJnHFzhHFyd8TwJDf682KQusq7p
uhg4+JrsB48mBlZoP5zSxI/7JGGRheKFxBNvJrkfV9x/APujf2dEGK7LWQz3QormEiIPuhisu108
+eQSuNyccleKXQfZl6EJPw9V6Q9yi5dLtpVboZBsi8/gwQLDB7+8PzWkHApFoeYhNQX43xK7UZtI
53Pp+ibVVg7DF01RvOQoLjaU8XmBa8eOmQpqJunlLfTSkamKtOBmsXUEGaxt4bfjINfeAulGcKUq
hlZtNunOB6abW82nIo8r4c5CyeesQF9vXIo6+rT2fbq0dZW3lYVvH+dwzeae7rs+RpdgiyTw1UGC
fRHA0WNJsoCJDlxWpm5xuL3sNZTpCiMFNz1LarzJWE+ny6JtsyE0Qc2kyUEBFWnv+y/j5m/NsMhb
s8wG2m65NokqTeiyJN7uO7N82EJdKTpovKumOouCrpTohzK1a12flBY8IbjQOZZtHd2FOaozWYN3
Cba7Tutqq0/6Ysm6rqK7wYLqciVrDvBIJIjZiUZgvFSeHIHBTkbVvuPbDg3QFZUNog9g7czSpF4M
jaJhHkslomrcFNyqRBc2kNXuUNSBjwOORnVDEsJOgfTZI264zYe66m/4tHZWJQOPg+q7ALfUYHjw
Qm0jHq4CMTSGAkb4e1T27uB1CSLSg1qxGSmoP4kIRoNa0brstAheuRJsTTQn/B72te2GtQtfLyqY
vSPbNJCviqW9KlBpwbjZHHlasQPSG/WRzHppYpyCs9jfivVrsdTTVwtZk4J8oVxjoEJCRPsG7hCg
vYFf8oEtOrkf1io5gxspe97CIwLXcPGZHDkm5BaxsuwzzqKqAVZN56CGNsiP0yosEJmoM0cEHQ7B
2UY12GkcTLuRdZBbzWSNy6KYxs/UUHI7QgrfFajpv+jEbCD8ZegujUMYrhhcgzblJNVPLmLoWCzr
ckBwM3JTd6woM11FAfqO5Z/WhCaXrG/az22yFeCYluXluFh6P0ZkAnU8lt1Dw+R20ncUfjazBBui
jUAwpUvnp1T2lt1Iy0Sf2o7GD6Ev8WH2w9SpICp+pVEBboRwobyKNgrebhXtcFXUdyjI4Ys12N7B
JVLxoSs7+zGC3M+jAJFvIJz6yIFJHlZTbx+K1Vb3psSQmmtdDB+xj/gDuMD0UxvWkE79Bo8QkLqE
wwYUfiNTkhs4Iid9RCm0FNvkXbIuX/Am5jQC3yY18LSpCkHQLl2dIXcR66ojWdB67udZfmxirFOU
BKvQKuoTDjYzh3uMod/11hcPG5gskAC2dR+FGYqTDbg2kOqt9XsNBFANoQvVrpzYe2he5nkyo73i
xqM9XDZERDHmyxxoXpPGOvpUg91jFdzDI/BuUJFNcdnup1I3F/Acx2AUlH2XE9t3V3BdNoDKK8Hv
YnULpMTgrr9Zw+yl0msrIDgMTEiKQ3OOh7k90nkVx6WohpOa2v6pAZLmUhsPxKVNnLSbwqJu3wc5
I5QNurPnUDBEn9EakMP96u0eZPKC0wk7UNG2Y02Xm7rVwLN5gh/jxs/vwLCerxAq3A2bEvvM3Nie
G2T0yTYW/IukTJwXQ9+flTSJohTHE/nCxsE+a6xnqqLJjh8NPHpy33gfEtWSxPNM1G406TpTWqjV
EP6/2fuy5bhxbdkv4g4SAEHy5TwUq4qlWbbk8YXhkQM4gyCGr79Z7j7dEnfLus3nE9HREbYlFAvE
WljIzJU4Yakm+xIE6aMMx6DexX3oqh3Lpf/Wm2b2voja9ntXTO+DBKhoJ1GRLHZw9S5qisAAcR/F
vVPafmllUkbpBOxUoZ7iyDCA3t1JzoD1wmSR7RHHAEyyGhYUGB4fnH9ZlyNr9+Uc+OAbTF7dWjOH
/T4E64ocUXTxkRblfFXW2L/2AnjFUbsRS6ftlrZJSYzNhkgBInqIPf9mGZkBbdUpcuurCIBdNM82
DXlUfFHTkIt9McmPLLBDvW+jsbxY2ql/W+JFxUcWS/ZOgiC0B78do+8ojdiyS6rWfquLTgNcaYao
Pg1RS1FIEWntEau5llkeYM/czZM0PI2Sjn9WfcLL3YCS/6rIqX7H5/POlnCdFc4Dau91QXJZRPbr
NAm3A3OszQ5Ha8QJaiR8A5AJAeFpP2LLBY5twONEn4rGNd+nQueALOcwLbmFVCQIrsMZECb2Ajbx
jDLOyn0EBJvsqnAC4UHxD4/BvCxqN1gWdIehoC2YjiDq5wMrK0BnMqi/5ZI1FxGrQpI2xewHe+j6
qkPb5OO3yUYWuy4LsP2DurFXQnhN6uuZf3QjWAeQGDi8tVPeitPUCPq9bmb/yk6swwHX2SCzS9tl
VCw8berZHnkDEghLsrvQhQJRFoFMu+cJ4ExwkAq7iczlN1cPAUo84k0f6qhs93pBNdGXw0+6BMlV
6LHksoba6l476jU7fG15aSc53VirvD24WpzxrTgy7ns7D2xfhrNNX+5xah5+jvFCy13S1NV9GYd3
DXjfjBRj8Vi2La1SIj1zqtugXI7g7ctjJ9mXsPftW4/X7JvHAe0EnX9tSdB/VyGt39GobPyT030C
8JeNHxPs5tde0Qe3zdB7bwuPvCbEOMsfnkteEp9BBYWNm7CQsbN84olioRR+NAzlGJ/P9CBPcWK+
j3hf3jXzUGHfRql6twRe/c5fFmylvxdMsH+SS0CCAhaURATCm5W+xxGPx1Vi4szyYr5L+DCdlkmC
RfBB21Nt/DTHmQzEuF8v37XDljIp1R6HRQQ7hTcrBhmmcdwC7Bz8Km06EEyd4fSoUcaDbybBfVdo
Clim5REFgBq608RZf6lZ7W5mWd1KsoCqCIENUii1mlRp4ZBXUAFjr288ANuCZK0R3q6COmjPc+Qy
NSmGCiV8NAqHg1Db4H6s+Le661nqRct8Gj0k/Lrvon6HwxikUiamr0wd+W8ZYZIAs2WUUgJ0MFqJ
2FosJUwfQ7UODSXODf49Y8b2qartRRdAsqQttBk0Ae8eWGWvKqnsMWkOqALOGgNN9nlVJFHalksX
71TLD3VClwu/l2XaG+/K+Arn3UagAKZ1fepqEb0izDkLSddLLwlBaLEY/4c+56yce7L0Kuwlw5JM
SeZPQ40jTrK4Jo2dKa+cN78NzML3Czbn1FpZXqK3Qf0A46UuJv+s1gPgFgadQIhpH7AHdBuvrM1/
ejjGY6zLKIEydTW/BTA8HvA2yUQAoApUZJFc+3k3vfIxQfIPn5OcpeYIAaT2YPU5AwhjJvMhyUB/
WoHtO/JOWk9qb0zDvxIc4JEjxZB2Qd7tc7XwtxWKULMHMC6uoNlJ7hobC8hmECxD2LV3M1W+3Ync
eQdW+Y/DLOT7309NsJY0nnXYQRj6kE6yGNjPSqY5NqMDIIG1t0iCpOBIF6aRD3CwzsWwA+7P3ifi
rver/lPjgJ6B//HTcmnKS8ss30PMYL+HdWLQrA716J+y6Ps/stYf0t5vPUqaClv16o//89i3+O/X
7/z1M78U0H//6eZ/HQZ++1PZj/6scJbrHzo/zV9j4dP/fLqzMPrZH/5Lpf2CDvsPw4IX/vH/U6RN
OEds/SW0/S+R9tNO5yca7T9+7Q+NNpqAKFoaIsixQ5zln2i04VBAIGhL0CJ0VmjTCB/1p0Y7oP9h
0HpiNWAlRFDUYiHIPzTa8X9AFkFHzBlOSyEUofzfaLTXQYL96axthSIYn0aQtp9nimmkseKGT4eq
GO6DvF0g3Ro/A1Io0gkQozeLSyaNO6nzsfnJTP25pp7Jw+laMBlDPsihQcec0ADfCO2FT9OU8QJA
/NHQQGHguVM+8yL15hLwLbjS3ayieeeamlxXEhoZhW3oeu4D8I4WnCAKEUAx5Yxz9S5xztwuYSx3
xpkQ5Lczuyms6OU4JedjuUxuaCVjRIdd+lPOgZGegNHs82mI3iyJH4qboY2rdOT8kZbnqrEgGDBy
OAg7o4M71geNv1dc3hRVC46jEnPao6A7QvMwAIdtJDRuzHmPgT9K0DctdW8mW5BrEkvvMXKgiHjc
J3eaFuc6EoBgIfwuqzzPvqurkR3GCMK0oDYOOiWuMmL98CqBbCkLq8pcOAZJZGomCKN2JCo9cWLR
SK5BrnOJw3Kl9IU3hj29GnNvHDIgAnlWVAmYUg+Cs7Qvbfw5PvMEkDMN5C1NgmJIZZvMOKN5mDUg
EScIt+X1DJj9pMVYtm9aWiw/2tz6nzomJcRiodfZ1HcdfjUhWn/URQGhghfr9qGj8oPCEfuw5AQl
G5mv4o5dgbcbTgWkBSg84iqrR+8zV35y4ytm+B7l8rhrlFQQ3oD9r654Tc18cq0xt2oYHV6WEFdL
bNqsKbnISFxAU1SPcX/doeK5KBvTnuhS6seC9nWW5LrYV5MCqydj7+AUXrdEhfWl6bgPZmiAyCOJ
WpMJL7lr7aivE1EVRwEE6YZ6AixIFHYoOEC+RZ6MTwGApkOCyAn3ZlbBta10OaRt2OLYVOscJ2Cv
weufQCMmamAXRRSbXedBn7Uw4vZ8VvIDL4L4QyTAuwyAQCdThFdxMNKdPK/zuQByN6IKuaF2Sh4X
3lfg7dS81xIKA+obuQ/bZAh3xVgaSDVj+RgR1yTnY7N4iAuZBPslhESkT23iyXIv+hEIMFoN9Oc6
VjQ4DtAr+JhiH3iJkEuFaAl0iGrbuZbvqCZsObZV5W7jLqJfO5bPb33aASqLoIbNbBfbB9R30Q9X
kOkh0jJBO6Ik486WyvtcV8RcV6plj5Bj4xwCzcQY3bJSJDgbm6Wf9mBgcn0MPA9CliSs61SDTy92
RoxFfzGLQn8drAHLvtSEXNdTMAWf41jazEWhTVHcQHyaOF5/lWZq7nVbi/1YKBzTKxKCrxkvZFeF
EKnon24G5t1ORh9FR+lPUIfD98rI+mQhh7sZhSov3DSLfZAPDhKhkS63HIzNlR9WA4LaBPM7rkny
rc5pfoEjttt7IcrTTmpdpoVsw5PwR0hEq0DKGxdM5cHSM5UJTSrkFDq49XsHZadbuqPSffUT/RfB
QUNT9rbzlvgBEGDwpS0cv4eqSGV5mWMKTSzfQejTZ80i/evZFO1HKIPH9z2Yx3dRnLCLUmoclQc7
5/tQLAIyFiV0NkiJqlN0jZFplYNl/dZUpCuuSjoVEJbVTczekb7q9QEa1vwjpEpZXtvyZ55THp2Y
9ZUDYBv27kQ0kKjdXNX20PP+GIPssLskdG28r9WEiqfwx67YhcZycCZeMu0NgJMvWGngtTqQ1EhI
UQIBlFchG9uhnIq0BGBcH6EYBklKqWoPKgKyeT0Ptr101AbyiDNzcEZBSXyRj3HwOfTC5F5NbrkY
/Sj/ICmZ8n3tLdoD6akr6J3yBWGzVF7+BSdpsE5gjPVVAYTnPWT+c3SRkwkQ/FgL9yYY60amAS2X
Q15U5ktXm+F2nqBLuSyhODwsnv1kgUSRvQWAnnVL4z10ig4/xtwuF1AXlwcdQe958JVC4W4XO497
btvuIxa/Kw6tW0yRaisSmol87msoOEYIliE35joFTDHLVM0jcBOmh+CTGRa6X+ZSBMe29Du242qc
P3kdeLpDJAb2ASyg/3EE2Jz6oyPfKjWTlDKX7KELm45+U8g7bXjyXVLX3/qjSeqMhjP45oCDKUob
l/eZLcwSpvix6mqcR9enxRDRx9waABuARap217N5PIFPxgO0woli15ZO5zsd1KBVgK+13k5IMQzI
maild6WzVZP14qwhyotQtSnOSM4cY6EHL2t5H3s7ct53YALUv8fWAyDV1nWkcLRZhneimt2VmOrk
iFfWpRo02ZGJxkBGBb4Jx6IuASMbzZBxL7LbNSX1oFXt2+5+zKVKQ4ZwGDwciAJhw3uZ27I8QFpM
7+pl4bcBa6a0GEl33dpJI5u68qpNRp2VQlWQIMW87lLIdAHzJAMt33oBTgV77Tvp7dii/XOgQxfn
5okcCj+Jv6MrC+tWQTJmwA8m8udk/fjOOUH71J8NCCm/QCWU9GCZAP2yfez38xtP9BmdubkvdZC8
dUIX74M5rHc9gXoFpLUCo1sSkDFdCwAIasVrMNPlHTSaCFvCPfau6cflG+hXgZippmhH/MJCC1ly
30FiSX1AJeF0E7vyGs0ch2ZasCGrUWbM7wdUEKSEYKrWt4sb8MslG8Ut6b3gHmgovWUmQI+Ljrzq
rZlnf2cZcJ4ytwfXti1kX81b5aEpxutdkKImO1Z+AYKF0m9s8cK95tOdsFB8tzYfdqwe8Hn4xbPA
p40u5x7yNSc4SVtAG0c2UCD3cd3F97rsk3rHZUBboH+MAAbiQ3/Vizj+iF1O812PRYU6CIXQz3Yp
3a2Vg2ku4spzbzkYD4q2PLTJ7TTg2eKClBA77QgIqx2O19MPZYGmZSyu5m8qLid7bIGVlbtlGoZT
tBD/WjTdQnZj3FSQbwDmDpFaw07uEsjy9QWEXgOGLhyqNdGq7oExO15JOwNlXxoGdX1UhNgPB1Wp
D3MoyQc9Qg0RFbFrsYWaEbwsBwGxg70Sg55y9Pk3N4joDZty/T5wKCnTcanEZRHTgaYzQfV1gFSz
fzcWrYSCFvwQeBHIL+5HObhb4U/Laeoi9lh7eXLyCanvaMHjj0aKCaRCoCDoEzE3A1iLCodkAWoJ
Lw8JfEiLpCHVbgzF9CMRpCqPiyMtxY5e24eQhiHILmkISzuQ8+HJN/10rbyklAf0d/bXZd0OP+cI
nGRa1EACzu+FIa+CyIJylzMksWrRobyeRt3ou65lkOBOhQcoummXxR1Y4dn8rvBN3O3rIsBbHywQ
RjQPJFWzFyiIw2NoS/KwQFHuXao8KvxDvRCyXCZ8XOJjEAgUHX2TXKolamKUPb5BBcxzoKiWCRBu
dSJRrZH4cXCafIhKn39AUNfLZcAmegXQz1w7JB2BlC6id3bIl+7KgJsdodlDr9dOmCSkwM+TCSXr
YIYr1zXelxiAo9nnnou6HTqnJnCjIIEBJeLksBxnn6sJmDjC9bK0ORQozVK/nyDUqq5dOfP4Ipx1
cdH0kzqW0+j98IM6vxR5APjcx65yYY1GKu7jsv5INfNLnBK8+QPe9nDDAldDAdzS+SJEMj/lsiFX
jhUTCp18vgYz01QpZKqgF/DVDxYPoVLDmbkdlrABUlwWaAOpUR4pMHFj+Dj7ZIQu8/fnseCMCT4F
LHHKTGASFqH/PgRRvwYsO6Jm1VRsPgApby76ufjaVd3DGAwfadI+kLDDxhqVyR5F5mdZL+6V/rk1
9nH+eFhixWjdhUuA769AK3S6kFZobz5MOZp0PTd015j85ur33/LXiXb9LWHagROnj8+BB8TzQ6eV
biHaMXVYihlnwkUNRRp51ItPrDxD9GIZWmhvk6783mF7gmoMCqR2FywNNErGhhfW69Q1H9r5raii
5OY8ZSlnPrn19GA/EoKDQiV40QEwrKP5nvq8z4+/vsT/4TF/2Hh9e+qj+L+2HOee8uDc8/0yGvPM
kOCvn/+zVT6CWVEADh0tkRw2ExxICDpg0CrP4/8EWHIgimEnhTPRGab4E4ahEcCWM0SB1l8A+b+6
6OUfMAz/T8TRlAbjSRLBBSlJ/lWr/PO1DzEtTBaiMExWHAFal/JeVAk/lcE+Ce/k8q/avv8edxVL
CakWLqFoPsxhCfmcc9Z+KAk3r3QRv/TYZwj9Cb5cR2gj0qaLDsiE0/RWc+cXjwUEJT+fvL5/goie
ZaS/H38FgyatE7ESEL9BvyTdmyGAfgrSlDoMdsgcCE9G0cz3R1C92BL90pdZQWAS777WRQdBkUTW
QPsdLSY0t/D48++/zDmx/J14/v4yKyomSkZ/qBMo1FUwsJsg0Kx90H7t82sLDBqsISjYCcXBOLz9
/Qe+8IXiM+b35O0MsT8s0fkDlyaJzGVfqlylTILvOfz+A56Dh399o3Xjb1w57c+KoltJyEhfcktz
kg5CkvI6FGVNbgIllEjREoverJ2PPsTx6Hfl8irE/3zH+vsBVjkc3K4UobThQRXFMqYxQQ8yDX5C
ODRqyGkKDeWFspF33UNYLQ6K9D2kkx70Me0fyPi/XTQxfz7H6IhqlybUmIKYhCmd+p9RqP8dU/L3
11tlhR6RqmM7hwfwM9FHv7dor11Ufff7t/fS8jj//ZPl0aDjhks6hQdBq+oHaClAah66aF8hoV4a
fpUbek+H0GaH4aGZo+V9oCFZNLmLtmWeeJUZpkbjSELG8DCjr9QdoMxDWxlOGv1rHNpLj7/KBsQA
tbNNjWzQo1kxtZwbthtHhNJ+2/Sv0gGpUT/0EofprrcRv4dGuZzft/PsvZI7X/gC0Sr6ZexD4WzC
OHN90KLmZx56tyuB3t/fP/95Ef5DOotWXf8JjguNIjbPeg+no6OegmE5gBMNqv1YlSzZ+DGrEKes
z2NADtBUzhC7nTred/7BdWjEOgzVrM0rbOFLs7WK4xE6v5xCkZkNRLhHMdnyDmYiyeO2uVoFshYm
DjTKjox4pjo0coooJEC2Hz+IMBbmlal66Tuc//5JQJdxMYg4GuCz0zB74bXOv0uKYGpeOR+8NPw6
oPPK+pgcDj58JAbuGYZ94uBGXtlMXhp+FdE4A/bw8+E8Wxq8gbkp0GahvGjY+PSreFYV7WxjYUnD
5CLwDmxsvJ30beU2fsAqnkXihWNiMPuAGsbuYgjCTh8mNDXr+98vohcm6Fy4Pn29EbEUCCz67xNZ
Vu+jWMp7UxXo8/n98OeV/g/xvHbRaROc9mtVROjfkGP+FhqyUb2nI7pB0UEHjcUbwAaUX/z+w176
LquojuwEQtMPo2ygbK5Os6MGvfmwM/C3xTNfxTO6x0c+kynKYAEFXka2ZEFzvmLTa3vzOc3903St
QtoWdeG3wDUzoMbDBASERtF967mFX0KA3YqDKYjtPjZtTD8rSGS6V2ZudUr/qyjg5yl9EuWNKfII
Ynbk3SZuhkuIV3EY3zmRoKyLZ10zNLPNtVugWsbh9CiMK6I9Z5r2D4sP9GrjBK+ygc25F8XCy7M2
8hQaenSUxVHzmghn5aXz97dcZYNwmU01kjHJqI+2uYML8mU+oDXPNacBDLq9AyPT/4SiVbdomIu7
8NZAxoMOQfiZ1R9jCA/DV+LipaW6ShxxV4dDryv0nkS5pCl3yY/BGD1uS9prt6dmojywpo6yyRsg
OJyBbe8KGhffNwVauEoaKpjQWV2jc6YYTPwpxFZ6KyE235azw3NwPFmLIy262vMi8NNoxatTFcSw
TgAEb+Urq+yFKDub0z/9AFmNNiRmirPZ6pxcxGya/K9mCBBxJSmhFO4qNaBb2fGh+Da0aPfY9lrC
Vf6gumuwiKDRRLt/CzHmSGS7s4rBM2Hbi1nlD8ecGBWfooMaw+DALVpkoMD19ttGXyUJnid+V4/G
ZdCsz5nrImDykIC9koNeCIlwFfswqSg9g60hqwkMn8gc1Hto0l8ze3pp9FXo49TTny3pHHTCY7fz
y+BDV6DjedvErKIZphwdM03hMuh55xtlIWs7NGMZ1BvHX1UBJTynBjpZl3l5m1yQxYh9jgbUbNPT
s1U0U8DAUJth9DkHsK8pxMkwd6q2PfvaMSzu0BGwRHit3kxK+M2h0ZGLiG1b8GwVyjXa+3ydS5eN
QdUcZdIV6RIyd/z9zJzD5h+241862CeZqMvD0rnA05n2wh84dorliFafoctm9Lls/AarkEUfBdog
Ra4zisB9m4D5PQSsF9uO42wVsnOHUkg7iM57FvILKE7UvrbdxnTDViEbzBCHx65WWSEbdlU1bXQD
2m3jo68iFht1LkRA52zs6zxIp5DIFIYxotz//uW+kBHYKmjRpCOF5wDzwEjHXIq5mK8VLLw2BtUq
ZIGPeguc3ebjBIsN+UC1Hzd3IZrAXxO6vfD4dBW1IqiWsViIQUmoXCqG8JNNYAO4aW7Ozq9Pd8iw
9gSL43w5oD0a3YdnIdV4tkPbNvoqaOlQM5LX8YKZ9z5NBPVdl5h822v9ZfX3JGYF+pQgIud/Pjoj
I9mFC9/66OtoDeMcFHGwHBIN0JicR5fbJ+b8rp8+u78MeSMxuqmTMlUxvDY46OuN076K1hJ9Qj1U
mhidkR9jxZpjURUbka21thjOiE1cFRg8cQqqOhCdOHlxs602+KX1fDIxZqbQMFr4N4VzrncmABsf
DPm8bYuiq1htYYfT9dRXh26BiAsN2D9U7YJts05WcSohDxv6UqtDK0rIdFj4yYP8euPgqzj183Ci
tgSrGcEqArYm1RepnNw4+CpMR5kYmJ0qdaghadvxGs0RaiLRxtFXtXAEt52i8hI8eqKCG4hX6D3I
/GYbRUVWcQoHWtKhfUZl0NT1sGPuYh7uvbMgdduaIatQJVBMtSB3l8yytpt2Hh3CbNBk/rYpRf5q
I3my4IMK0jO4DGJnBZ1/mdQy2MPKyx62jU6e5xk15QOFzE1lc0I/BzV5Ixl9s23o1a5qpK1ba705
q0rvFunxkyXRRqxwbZacVFUbwfdszmpdglwvw8dewGpi04P/avh4MuOdkN6UxEplXjWjJamOriMy
+tsWe7CKU9DCepAG2mGIK79XNvhAwvYV6cELdUCwitK40vA/qj2bYVgJTTuRJd9ZSYttqXfd6AKF
pCoFm+YMHtb+RzYjD+xk5YJtlcavZqMn067GhvhN3qus7Sc4OproKxrH8o3TvgrSHE2u0QLhdhZa
iHXadsCji9eY15cmnj4PIvR4smrw2jmDMX5yE8siuEHX9vBh23JchSiZyQyvpArLsUTHPzypPsLI
d+MrXcWoY1DT5VA1ZlMIb6kgNp+aMd6GJ/8CGJ+8T6aZ0RXF2F4tH5mC3TyTN5umxF/tpL3Oczgg
FfPBz9Hm7NX5deVeNYN+4W36qwgNgmGInEe8A/fPGv7oUwx11rbU4q9C1CtRp08wwECzQfemPxtd
teW2TI52nWcVI4McmhoA+IfeQfOnyRULt+2g/moHHWwIk94BZzveFtdxb2BXnW+jWddarKqZTakU
Hnpo37kFjRfR+20rZBWSTVLDQUjgJaJX4Otkkjex49vylL+KRzUuwljN58zKOnh0diYZmo/lftuD
ryKSdjkc6apkzqQHKQHpxAmGwR+3jb2qbkVTyRAtjB4MDVDdej7/whKIgLcMjqsln68/LOxxbHxs
yWXFzS6UDJbNSbRsChzcw/t8dCgno5mFi3cY+cPU72Og2NseexWREEyPbCztnKkYYg6NlnC4yfLH
bYOvYlKD77IWHsFohhhOGm6G+5HW86aVAjXj8ylBH7WP1nsMHjfhPVXDtwqe3Rtn5Zwbn+RuGElY
f4yhEZ1aeh9ibKOWrWOvQjPQFZShaIfJHKH+tYqL+hIuDXzjrKyis5RsaVDPYqGEcLmCYeG7hpeb
CixcfPB8VuDyzbRIEPmG2rlOfZbDvJygAqo2pRZ0Zj7/gEG3DLenIIYKNnyB9/EHkA/vNi3FtVhr
odSfOMW8KFWEZwvUage31WhTHQFA6PmDT+USAY82eHBj7lXvX5pl3Bih8SpCobKH/UFJZRYLetNA
cHjAJd1k24yv9VVnBz6eqGXO/KF5w+BkUU/lpiIFLfKrOTl3MsJdQ2ZwECSphkFcGrD657bXuQpQ
C0ZBxu0soWbgnwppLqsofNg29Co+zTTnIobVRmaDRu+aPhphBFtvk2GwtbCqD+GBCUcruIwnvtt3
aDmKKHpZtz36KkBxKQ/ahwM9ZT20Ns0OHR3elbfArWPb8Kvw1B5FVmQKb3Sx3yUqOCPjr5uGXqup
Zmw85cB7mUHR/dYMw4XfttvW4VpIBW8VARdqNmVuOdvg64Lsvab7tu25V8FZOdgCTUbIDK2OqWD2
to1fKzvPcfLflAtb+2NoD3jwMkRTVsKQS+2miNc3Ix/MTtdE2XTb86+CNBQdDDD7cMqain5uSvbB
G8TjtqFXIWqgeGx4lE+I/wXNyXIKIO5n26g69Fo/zy5wtwirCX2MGVSvH9oF5tfMG95ve/L1HgrH
Q7QHlTILScU0LH6VhTNx3OD2pG0fsIpTVhboso5h4OWM96ZqyWM1bjuLs2gVo00VjjgwY+jcJm9m
HzfeUL6JhsK1c8+nvIlt3o6Lxf1QeUtwTweZ3wSFrjYpfeFb8nx0Ei1+uMClKct9B+vOacwo26hO
Y2sHhNbk3mzQeoVuVFhL+0t0HDU6eTe9zbUWaoZPk0IvJObF+lcL7v1oQrMths4mGc/qUF00cOgp
Jlz9VKCbytmrZELr+LbnXgVoglXiGyKmLOiXexqM15M/b3zuVXROFdgJrtGTLnn8Af3TbxoxbjrE
Mb4KztywVhRDPWX87F2UQIS+G3Hp37Z8yFeROVP4J9R9MoK3Kcd0IuINevrebZvvVWj6Ps5ZXYi7
MIqKtmiTBFBxUL7Ht03MWooEF0Oo0mqLuElsm8JuhL9tKt9te6NrKdICb60cWjtc5JFMJA0ku8VO
uo09Z2sZkvK6uA9Nj+XSwzJKINdaIWEfmsAob9Pcr/VG0ALDS9Tgtg/Yaego7QCe4Z4XNm7jEVi4
ClQrlIqnNh+yGManY7roof2J2xjg0Lvt+VexGsB/iOnEG3CHksVdUwWHKagsw22ngLXgCM6wJvYX
f8hUg55j2MhPKcXpd+OzryJ2bqDAg4nqkEkWFfCLc0R8QY8ybA+2zc0qZk018UkbzE1f1v0ODpfv
TBNs2/PCVcw2pNetFynMO1xbT1b68qibvjxtevK13mihcHcdcKtNVueh++DDGB2WM/Egtk3MWnBE
kSdDeNwMGe5pGuUxUjGuv0L/Kx83fsCq+gUZJ/puWDDzVOqLaYrflWOzDZtna8lRJFoYIMzTkEVs
foCH8Rst5odt876K1iK3mjZNAefsLvmMq/kCNPez17S155D8h7p9LTQaAZnHnmqHjE51/DkCqXBS
ol02LpnVzjr7nrEOnhAZIjXZcUhfdp71osO2iVmFKq75AkcPR8osXCyu6giGS5igvBJKv0rQf5qY
VZyiKxzyupj02cJFAduGtsPNb7DCMwK3NiaFOLWD1Q+qlc0FldTj2VyWaMJGi1s03gP/k9MDvIX4
SYCX7E+16BjusmgqgPGFGWNf7xyrxwme8LiBJcUFFZ340pelN6YchSXZByGw9kM0KKP2DdqMbQqb
itlcwFIprjMSmZJd5H2Nq/gCH2jCRzg71hbXHtUy2tPIYEzdwHbjWIxo8ke3HW6oObaEGLeXS0u7
zyaCg+z9zHCh3VeJO+/GLHYkWbIJNoC4Y2B24aH2YZ+VdhEJBK4Biwp1KoIetnw87tAXdrYneYAX
kt4thE8XQyUnl/l9Etujbhu4YiwTK+D+BCNWQNhNueCKl2aAcbW/JLh2IJ4qGO23fTUFV7hppE4u
GhrMLIOrc6HTEJajF8557e3ULbjLh8EOEzcR5rhJ7qEJ6j7aVoWwVcJsDVO4GIf2GcdFD0B9YGNS
0GRbvlkrvSjLLQrJZshK3v7ImcAFf9W2517rvHBPCewKCZ47VHkmk+YyD4Nt4CBdZclwgTIlAIKU
kQT+J7mXwAm9wZWhm0J2rfKa4JzCBUi7rCB1ffZ9+snraVvRR1d5skZ769JFfp8pq+Dxo0116unc
bktldFXTlLzyVYebRTLcMMSuGepXKP/V/GnbvKwSJW5pWZZlWPpMxIV6P8WjA5jfwTp/2/CrTDl2
1Yw2kf/H2bntSmpzXfuKkACDwadAVa1a+96t3pygdKeDwTYYMBj76v9RkX4pzZe8LXGajliU8WbO
6THHw4YLQ1G5SOPukfvmWKcZeCG/pn0hljB4QRq+Q4OuVTWEtrtswNYczHL2Mq+obyMfEMxI2qh0
O8VzD7v8LEjFWB0anb3Uy6jR1gE3wwUXVX9ZndynwXysoyP5G4H9j7sZvdhpHV02XHjIoCMzc7aB
Ksy6+FhpOd4t1zUdYem+xBqAW+aBjx9Ggjv2PIbT0LHBob9+Xat7GYUb0GskjJJiyYAXBQ3uYICw
13vpzNadb3CE444GxidLdIPh2PBy7N13axZ0TjenbT+gq1bKe0rW1ACEMtFj+v5kr/aau76BkGnA
Ntwv2T3vSfgNOa07VgqOd4s229To1Yx4FaWsDUgnILey0GQHJ/1u1cYggbH2djp1rWrK2Y4wFjfw
gjo28ruDFcZ927IhT76AjUV+cqjNf3q1qGPKz2Qv+kpj0ne8E/oCc/g1uAqAKMqwtjb9zd3hf/TV
JXvhF3pb65rKvL94GZHpoxbtOpR11sf65sUYfETD2XMQwIi8QhQnGOyXkIyeeZCmw7Gvv9eHoSmY
hkuH+NO6kedloDoYUChgq+WxNHovEKMh8chZbjtTbaL6QbUN+s7c6ADYODQH9hIxHy4T2mtj+MeT
qIWls+1ANegEUObHJtnfvsn/2Fvp7NXUA992cUsM2bJfPkO9/+PYy+8OZGmUM2zx/UVP/VyCewVL
yfToi+9WdjN62EaKTF0Q255lLO7jeP5N3nLb2v4lbfm7hfIfY6KCILwBhNDqkqygXgUJrhqsf39s
UHar2nA5NTfXsku9TPlp4SC8qLQ9eFTudWI2a+G+jy96aact+K46S35MAY6bQ+++F4rNXQK/+D4C
PlsBmLoCWDY2v/Fy+Y8x3+vEmg33jHQa+gsc1uCcfmMlNbDbPHaI7aViVtAWxHeigGHIhwaGXzn4
59kCQsOxgdmFzQkDZ5z2obrA7LYrR5bfiSRyx5boXjI2AUzb1KztLyzh9nGeFJgzplvf/e9Xv73i
v0z2cLdImRVutRHOd+mTESF/ODfsJEPgsE8UWV1/LMbaa8hyR2tg0RswehcCf0yemu62tEI2HDuL
w91ZrALQn0GyxdxM4w+LCd83UX1w2u+WLJwsTA74/ICW3zSFGTJK+X6J+kOfl+xlZD0mYyCgCjxF
2VS/X12gP/Q8PdbNBFetX0NP2QJfF8azvO3B+TsYaKcXwIPzQ4NO9pZvGtUFcNB7ictwVCWGMX8X
JGB8/e+Z+e9bAuzaf331xZkeFAiYpgoKC6cSzYfjVxg1D+vB5+8WLQxp6lqbSV78lH1H7ehJZfzz
sVe//aR/nCAJMB6Y4UqiaRXOvcU4L+tPS8Zj1huE7dZsi/QN9NjbsOu8RsFxzq+Kgu147OXjX19+
iLtl8xNeHhhVlJ0icEVgqXLshIIl+q9PZyBYunRG/S2yJnIVjBC3HpjNvlsPFV/gevHrH8hXuIgj
spUXuL66Km/C8HVAP9/7Q4OzV5U52qLCZQELbqJmG+67MAqf41iny2/e/u9Ky//dj8leWEYTEm8U
GM5LcPNFfRmjqF/uWrGO0xmJ2BKf4aUHl+AxldvwCMPQ3D+CyjSqr3FEkvNCYw+OUeBSmHzXC9wV
XCDEi+pTcLbUOLq29A2v/fehdu1y7jXOXIDcu+0HUUnysOrO3LsW7B9SLzf/f3hg8CJUbeI/8gj9
Le/EzafiYw+OF7A1C7z58a+TLXkI5edzp3ngK/zfIN+SuB7WH8cGfZegQ9cIa2I0JINrHHXPKxPs
MW7j5tgBS/aSuCEQ6YDqKLzwt/Anjcd38PF/Pfbmuz0GuaZTAbXiQjx0thLszHiYf2ekcdsI/22q
7HaZZQlgfz5v4jJqeHVcp9lLWzGQZ6YKFtWsuVJGJT9UXYNf36/LKhpZSpM1FRdgC+kpEVaevZbN
p2PjtNtz4Au7IEck4rIOAHgFtf9suvh343Qb7H8bp92WE4VNu4hpERcql/YDVNXJS86b7Y+ti4Lf
VDb/60/sNp2wZkBbaDCG5w2+/aC5jdPYwkUZxfZra9HR9puk+j8++V41B3lCA56ObE5Na4Q4L+kW
QR0WyFOrPLiuUHQfqyqBsvLr9244aic1eGYX2scBhG70MzaigwdYtlvQAQxHUAjoxSXCdZwh9mxI
9JsN+j++xF5EB0SHyD16cCvRwA79yuScnoec4d6fNqsMD6kL/gbM/POAT/Fs2rZZAJsOGAmi1735
Al7vsdZWku0W9uzY2LZu6m6YW3OG5jovah4dS1YAUfv1y8IGHKn4EvFLm+QJwGROVTlrD+VxJNst
5JDqSMpM1lW0tvdhTYpkoAfHfLeMHQnlPBg82vvkVLMRkI34UH5I9ho6B9e1dmY33HMbP2Rp8DDS
Y1U8stfQQVZ4M8IFSkED5n3fzbO5BCn5cGjb3Evo6hQoekeAkQX9YT5pPSWFYzI5H3v6bpWGTEx1
GgbtJWtn/QDV6+exccfMYcleQ9eASBms8dJepIvleWGmvwtHeUyKSvYyusBtuE9RU3tpOxBGNM8f
g2yaT8fGZbc8ty4cl5kMrDIqabdzHNtPGlCdY0VFQnfrE37/ZpRJz6p+HZ+FHC7dNBw7xPdSOsfB
clcNAilgzlsAuvuw9DL9zc57+/n/cszulXQr1PkeHX5YRPM6gK4+lZrCUfjYmO8OWA+TnnkF3xFd
S8qVgCUNY1FPPTsmSIMh9a+bIlMOPRciZWi0Gnxc5LKeHoZNgCV06P33arqF9nWfjYRVynrc2b6D
CuA3I7ND3P1/Zzey19Il1Ecwp2r4JXKgKj+EQEaiwaiBcehHOCUNlxaAZVJk46rSE0V1zZZAqaQr
7Dg1dYB8snA8eeBG4z9Ulsbrpc5Jmx2qwJO9Cm8Lxgi+G+aWLk2mubbgtS0nPou5r46N6y0M+Eem
3bctCAIRz6pt4hQblOvAU+ApjciPY39gt9gBOFo8oI/LaQF+9aTyxIIUkByqNJO9DA8hWwqshVpO
0c33y4J6AzB3dkhfTW6ku38Ojc5WUBqBkj6tIIQWck7GYpDxMY0fSXenccIXdMMv/XKKu0iXRACb
jIrE92ODvlvtN7gJAH61Oa3glQBrBH7KuCXhsXNtL8JroDUNk4CY0wBlDfA0U/MsM2LeDr37XoMH
RJEmER3NKWC49UgEAEetS48NzN7zq51sNOAi1pzgURm/9qC8fgfaJjsWBu0FeD7lFtDpdQbdnEqw
FhY4wiT1MdcTgHZ+nY+SGeJJns6nNtumM/gc8BcPxLE7drIX4QG7RrwUBog3qzgUV+Yj2qu33+yx
/3G07c2+FjvCMitzIIhkkS9EKKYS/LmPxybMbp2mYqEBGTHqXsGuxRr3VzjxY72EZO/0BdiHGmtJ
lhOYbVPFLOcl9uNjl/dkr/3yaIOoW+CPIbKLv8+KfFAcqKtDw7KXfnGFkvKggRNpwyksNh3XgJZB
Rve/n/4faeJe/SUjMcZiIPmZ1jJdX/miWnV2NJbTOZk0TsH//Wf+Y+LslWD1Suok6vAj0jgPqjVO
m7LflmNKMLJXgmleg+5O8fSm6dsKkC7IPwb357FX3y1X0WE7gJ5xOoHz48pWjV01q/rYwbdXgjGd
hEaBuHhaxQJaIs/jAgbG/tjJR3YRtFNIN/xkp5PhXp6jWXzyUZce/KS75eoB0PIDaj0nnXOwqOXW
lZCkHpP941b/102yz1xmsrzWp0AFU9mB1VMQ7Y45N6ED+ten1wk4b1FH9ak1Iy99qgCvhk1+dWjG
7DVgS+RQcp6a/Nx1vf/oAYh668L+d771/7GU9iqwmlgbLRArn9IpQj/KLeDQcfS7GuF/PX2X64Jw
g3I1MGLnJEDpfA1+DLL/eGxYbrW8f4SoIoqjGvyM7AyfL9BoVw91ouHb/OXY43frNJIDGXw4sXOq
VQ8BbgdE4SONZJ8fW6t7uy895wuieM3ObI6A0YrvZXgwEtuLv2DENRpw69lZJTj+bnoIMFWPDctu
mQIG0dY8G9nZ36yPhI2SMuG5PXY47enOXSi58W5IKrhw3fWTfg3pMTdBsnf6ClOIiohSSUUhf+j6
4DHp23eHxuT/SL5gI8Qn0idVTBcVXRIt0XfNrVo+HXv+rmbc6xspdBmyM7jOGyzUkzm5v7Xq/c5P
8LYY/6XCsNdztQHonrmt6VnpYL4z9bqq5zkLm+aEPtWsvjbKW/5kwO/8fXL9d6r6b390t3wzF9f9
2o0Saetm+62MAIOM9UkIrDp55vUmZDEOCriaoicjzvatc6DdXQepKVdnJNadAOvQi9VdQYsEcJUQ
C9ldH0LSKgrSOW9tgSBHj4+CRrl+WufaRvS6BaBRi2LysgGfGjzzljTFZDKNQGig+HRFysah+UNP
4BtHRSKyVl2JF7B7rhwS+gwA0XG1Uykc6bYPsJADArJIBRA/sPl2QPmCeMqWgCYFc7CGF3eRFhTW
9wo1SwPAaTvJBS84Z0P/SccKiUyXdflfSiv852kZk7WikPsCMIkREuW62ri9eLeAeo4Ymcz9HwOK
ttlSbFMURrZIc9rwrz2wi+yHahaAftDI6YdJFXD76tyXm0jvTnsFYmcP06i5tLYFa7rK0DhZnzyu
bOJTENdgfdbgPXesBB7WpaqKV5+GD1G+UtBR08Ur9IWNg7sDJaAvM6pX+tSFS5tXYUssATiUjojC
chB5cwUD3GIbGzr20G92A28qw5DvZyUqJFsz4M3GfsqKPKYZ+kbW9lInGcJG7CVULff4WgMHDjxH
ZAciZiBVtag+/jYaBTyq81v2Y2m9I2c9Dal49lOc0zc+xln2TExNyKOveb40lfToUUnOzC4RHBE8
zRb5hA6NHN9Lt63GyzWhZ81yDuFqjGhMAY0s7hwlm/0+5qodmnJYUQy+ZuhAYh+jLYMZYSn7BCSx
Jg9uNpBykb0N0MXiIdqCg04GQN/J4VsOwxUEQubjKxV9zgtBBTuD+diXA92smlBNccG83iLLdX4I
was/2Ql71DMdmqX7uG1xA6jvtAzxcu5IOm/l0PAkhkssd7JCXsPzr7kh/fDANo/Ej6fhsk2F1QbF
/ILlaRYjgjKGEAJqIyHdu0jkE7ioWS22hz62EaraoYG3msc1s1kb9G6FbqbAfnIKk7VQLt9jGaBn
ZlqzRH/IUhXlFa/ntPuO3CeXWDQqGdZq7tJhfhZL2NCPkGeN6ty5DG1CbAiH9N6nQSweI26F/7Pt
5bCgY2YKhuR5xKLlp15zF1+1irrxMw9UHsbY3kRD0yJTCdPPoTEi+p50dZ078H2Zai7Wrmt6H05t
MnzpLHVpCc/7EN3ojSURg7VzSuWPGuxLsIPFKPLvKaGj/ozucs9L3C7h7EKfx+CeoOoDSHUEiTb5
MXTT6q8q1s59FD6MolJzrKQfXYJpfteI2D8bFjZncCzz7iWfloyewrzV/P0o+OZfLRo8gOqVMXwD
8urmREyvszV9/5fAzQ1/6OhI3GUAOLO+jDGLpodlBDG07BKSxF9zGifsz8iK+hkt5ME9rpH8D7S2
qKKzaVM1MAgKqq31ub0HQ2L1dzAPIl8kaxNWaYlOx3eZ47J/jhowtq+Aei/uFIy82+6Ym0J6yegm
ws8hrUX9no+s0SVA3QE8EbuQzWiiURQgv9XPYPjOoTfhlWiq5SeAO+rhZQGSkp9DwLKzygCqjb3T
pvnEz9BPR9PTyFb6A3xvTOwaJUP7wrdwwlbCh82eaDqYqalC3FatD6KDwfG5bhagbbcgW5uPPJ+B
DgeaV4NXWwcT/c45A3u+6WdhuiLvozoE6Cgh23WWajaVsXEYVGbu46jopbf6KzEMb1ClYRPBznDD
W7RBM09FtwVzf+pvljwFDO28eB4tGtNOqZ7stzh0APwGSO/gywkUBH1CuNT8BCEd5sWd5LEqqbLp
8NmN4DPC4EgpWJ4VRHjfXq1Bl+xHBz7dVBd8NNmG/d5rOwwFQPQLmKioeK/zD7usJH0DgmPCgSDg
VsPeSzzl9iG1WaYTII646Tz1NlZpgd7PHghgFjFAYteGSFc0kcn9g93mBlWLDRgrcHdrhxgRnWyc
X2dQ1oLCT20bfKBg68YVT+gSVHO4RqzKnPegwYaedHer8ZZdFjUEAI/buHaPBLCc1zCau/YDKkex
E0UrpWFnuMY35p4JZDDPDiWxHCzsFuedqet0hM47AchWNWEnysFPkSkT4JwD9C1Mc91adM/5OXpv
QqHQjNEnxry2W5jFdwOujLvnAU537VisLgFAB77iwJBPLLpGhM3mJZ3HoP8jbrdcPlJJZsyxnivJ
/yQy95gJCpZt82lo8nY945dt3SlVIpk/UbHy+n5u2o5c0URL5dMyxQB8nbAdSVqBy0Tqnx5WyfA0
n0Gsv5uHtmmgbUYHFuYIoLLdPe+M03e6UwSa4Rga4vA0a1APi9W4Pv6Av5m/rRE32zcJ03j0pLOY
D0k5wn6xKQPsT3W51Xr70MXUkLucafS6pH0PsapapzwonV4MkHLTYDc0kKxZVOJCIeeveN00fdms
a9o7QN4T3By1tQiWj0r5ob+HdJd7REW9337g1Jh7AY/UMIze3W5qSFgSPmb+yYNVrWbsxN7V17zD
p4fRLAXd7NFiQx5fQL+Yp2toODN3m6EsvZ3cG4cnQINhnOfCMKzyEH51jV/AhG6tc+8I2yQrQE3L
6TlLFPa3QhDbTS+hifLxDz/NGuBradYNcNmEhNtzgtnPv3TzBgQNfiQZ6heBcph9nwsM4r2Pu2mr
erKk5g7nfwAU8GpitZ6szzLbIHgyg8fHnJr1vFoRqE9Z5Ix6XTFm6/3YQRYKoHrL2zLp+DB/2XQW
p19VnLlcFXAIC3uNkSKy+bOHZ2r4Ctf6hP0xwHlFfBvlKGLkVzBEJKXq4i67U5mZHeI3HuaAIY/B
4nAUyg3HB6I9WMbSIF2zaoZJw+Cg0cuC73CVd0kZ4lDvrn4Zxcdswfw+idBKWrYAtI+lyvrkcxpD
F1ESl9ddiVw0yUBEHLLlEssspWtBtlCNz5qPHC3HEew7z5p1cngiSttAgkaebX90w2i2cxq1yfoS
9eEE/13cs7KPSd5boLMlSDmvY8zJl3wG5aWakxqlAFDJDX12va6zczh1Nn7B/RPp30uRzf4h6vpx
wIaZYG1AFg+hWn4RMFGdnmolmd7KPEmaVwflSwCKc6vW97O3Ixqi0fca2xI2hrUoMxa1+kXMqDGB
gN3I8UQc+mrlGS1q0SmvSd9XU1jH+BItl9FTsugbyZXOt+Anh7SSg0ufr2lcgQwfRksh/OY+d7mE
axKI7eha/KjR3EbempkOj1O/IOIqedMFZdTBFc6V2N3XIrOUmM/xAtuDu4ZajfM+20KE6QQNvNoU
jiSBubZ4hfDdMvQmAy2bjpVwfOkvYsNS/5qGk13PcSZkBDLJBMuzKGlJXhEJeXAxk8ifGQ4ja4op
rbv5eYF0ivWloiqTj2Ku3UvubgBUP3nyMOe5CE85CDYbjlGEHNXkE2z7Vq5BcxW0T83HRdbR+r6f
lqjEHckYf3OytmtZW57cIVwDNVOgi2ZApb2Yto7fcaNhrJGgrxqHLSm9N0wXA2BItDJTGN81iAc+
W5WRhwZWSqqgrBvnkkcxbeDZqmMQ0pOO3ue2cX8m6P7pngBdh4Lbd7NnT2MQT6+hhcUrUiBiHkFx
jz1iJ6DKX9dAQ7ZrtqykaCN/wn0OmrUBLyVwI0cb8pOb8vjTYIPmJOKOikKpzTysQrKXxsJBvxKY
xmW6LbaMed3eJUnCHhfauPsm2uQ316zdB0bkVLYhfSfTSX1KO9azogn1DNnJIoUYiy1smZ2LBtGu
Ozug6twdXePmjUabvjedy1mF6UxL5Re/nfupS+8d5IvJJxvk2YdGWqgWqtj0WXBXq2y1sqgxc3O0
yTse/tma2plPaUqpK9ZWbTmknNFqXdXe/ACu0m0etin5FDkNsu44ziDXby0ZuqqhaxTcr1GCbmy0
ldrwfuJRzZ7nYJvNeUWff/jmqYxpyVyymocl0WnzDZGrGk+piYP4Tre6TR67bQWde2n6VRY20lP+
Rhapw5eRLESfYNPgelgSzJRfh2Bl8mvAwRLuytS1aVuFc8dNsaQtQlFmlqwtJ4kYxRY1CQiRhUvd
0v7Y8pSMj+s2rP47oFQW4RA3eYrZLbG2Ul10aBjqTnDRqePLlMu2e7dFyP1PQ58QdTYZ9p0KGU2T
Xceb/A6wexWTFzTVdOkD9LMkqiK2pewaoW1q+6uFGFu9LLPJdVg61qz8fh5nYMQLGIrkuB71XSzd
O6TGWYwsGJJN/zDPcsa+wPvMRk9aYUl+EEhW7VeRCnZNwNtGgqxs9jWaiQi+KVywIk3ehhTERRSh
eYnZgWCpqJcVu/s8LVu1qmbKP1P09Ju33GJv/zLPI4u7Ks3GAOdV3afB+oFa321NEcRxRgpj6kmV
rCYyfp59vrm/ErT7yz+nFt1sp7wDtvC9k3xjMBxIh+kVjOdUbKd+hbvrhbVBPLxSrDLsiCGZxhzb
E98yFAt5j7bmu46E3N4RwUWoqsRPCAEKSSltYAM/IP9AxNeNpVv1LRYBxsXYd52ZpsZemGjE9Cbn
YFjPQxcYdp1ntqT4Yp7ZqRpjua3fBEvRi0S5YPM3Y8W4nnUTqqBkYoke2rGpaTniItw8uq5LGnyS
rEUz4IwqeznpdURQOlLYybwtHi65aJAe68ehiceLrbf8/UhiZxAdpN7rFyelLCawQQs0hTULAV8s
74azs3nqygY41eXqyYwEjbMlK2Zjh0AXZjF2fpdFNuN/rUCb5CcvwpBX1N7O1aKZwZi4qxFmP7aw
5sKsI5Ei93UHPuuDbtzwmeUYhIoYk0SyCFtIHt5m6bsAUaoLg8vmMa8viAOi7N7gCOj+sJa0F6QA
Efs6wOI842XKmrB9r9eUc1hCR4q2S4FJlpIyx67qkM0FaJzzGY/a57yzoS8nLPhPIkrVSdYt7bHU
6uV+CFHBeEK9gqSveb9RcW/XiX1HJeYLQg8TUyBVKCTgAxgx8fs+bupv8LPo2qpR2BTbbhJPxoSI
zDwMRuxVZjkvtXcAjqCtI7xrs4nIp9GQWT5N9TI/LFoP3R8ARJufwSjmudqWAJ8x2bI3sSS3yx2R
42zfEvtGEUuYqvEjYnXomsxWSJupM5qVGS06bRvEBriqXAG7yzfUa7ETzqjvmO7ZossEBMb8VulB
4/f0JhCMFXEKBfoVpXQ2P5IxH4NXkkHEB1FQ1jfrdaVNYyQ+yuLCGR3dddeetpDkXXbqctq+a0aw
4U8RulfGv7Y1FmsZcFSuvsGrATTcKc3n5NTz2MWYmm38YWqRj1xc381F3GED1cW6TKDYNfHCf+Sp
muM3Yhe+lk7NEbKdLJHrVnRrLoOvbRvV3/NbaHKXb+gy/+So/mmENAnCXTZGCGZVIpY7BiZIXjI6
qZ9DiiVb5EB2lMCChMlJsiT/u/gniMcguPwEf8s6QSoDqPp5izObfdFNwNB/3LIalcGAKTgjzRoW
BRWCEmXvUzoMP6TcSIR9LuFd/wanNtaV8cQtuetM4v5E6tz4h0nG9U/FpWcp+N9ujR8Vt8n4KahD
mv6MgMxI/0RqyVEZ6Zr0kQ2TwN4RclfGTTTa14nVmUZfB+6WkoY24WsbUIpqNkKP8CG1MBQ9s3Wi
cbUZH5LTStd5LaRatg/wRI6Sz3pi67sgSObPeZ1Fn6D9MP4y1GgCugsGJMabVNt6okkOQ1/frfoz
xlw89JGArI12AHDD4yQZrgNnbCxT3Stb6KAWX9CpuxVjiuYtrRNLH6ZNB68ZtdsTZZ7n56GG9cJJ
pm67jMBKXCItw2sCJjP2vJ7Mb5w1qXvRzYDu4XWF30+RjkttPtgFFq/fYCCC5Gx2NuFfUBomWUFX
h3GIbddhW2AkIgMijgz9x3loPvGNIkgkKCU0DaKMLg1gD5v5oJogg09Pad6gbmKBVwenJJt8e4l1
qN9gv96J93E+oAl8A4HhfYsXKUi7RnopsW07Y4sJtTHyogXPkpJovM6nYajtcO7GuuNlnGTafr9p
Xa9DL5V62LLMS/wNEczvRZRY+UKazCJgcy0557kOhjtIKDP7DqXo/oRtou/PU5p2cxXzVUaQywEM
expsiE0E/hj3+BYoR9Q6HTTSbQvR8uqceT8HvFvLPl0ieR8Eq/IX2I/5P4MU2KRCAg350Phhw/Kp
cwyHsOFJsGQpx9HYezJECDh52z84zdP3UC+P6BCAvyPqHDBqIElWfwk85OTnHB0y7hPqTNuKg2gO
oz9NPjVxBgaO8CgPzHLR/bXHDUX7jftxViW+FBrec8ERmWPHlKsq+Vhr+JfDvIg9wSItz0pmqV6u
25CM+SUDAxxo1HqleVsEKWwPz5aR2yIMurVpQFcckTFh8xFV52dmrwZNGayIh81ILGPcd/1ccHbW
Vz2ZsKlWOGqHUGKqOInehgQRWrVaNvEyS1aKXh9DnXhrKWxqqhB+8+0XiYJGUqh+4fxTuHnsHk0Q
0OieZpFKS8ViGVcDqmFrOfQrSlsFmqC2purQXBi+JHqc8ncAgrRr4eACrU+Lq9OhcLFPEMEwHZkf
wQSqQpGi1YO9A8tmzS7caZv9oPhR9vOMAJU+pnMkszKRmYhfZWNDmCZrJAW8nZV679DAL85xN4fK
FSma7VcUMHnvGyTqBiUHTOoNQSEY7fUIsDab6yc+hK2/Rkm49U9Mo05bUE0s/NI1n36GKWn5c+zr
HrqkOhT93ZKvQfyKvsmMYk1NxFvc//ROn8FvtNMZSjetStyqpMv33qo5ACDRm/waSJRTvoRS3b4Q
ReJTRRPTHZpRkYCp5wX1Q1Giv8LMSwEvlih+CGmcIrlMTdDftdBZrN9t7Nhc1ZTW5mKxX9tqSrUW
J0lIPlYxiDRGFOOkHD8jG5TsoU5gvwbxpbzhwUBLG6qOt2y7r02Y5SX6RBqWVnBiCLGg2lrhPhtX
oUNzT9eNeMQsRid3KBIMuK0fEdsVqMNGokDDqO+qEdNAnpNticafWZsKGSB3iBJDwLuFiclfWiiJ
fi6BGzKDw1QhTkzKQE7sQmMdu+0qopzkb/CMVubRIrXfNH54m3QJYpCNDC9p1srtc4Bfw4KCR4YM
y/nmZo2EdM39mjwvtwz6oQ4GsSH4gl4WBlOubpoXp6IZycq0EIoFngjUrLISdy0pstVwVqz/0Tpk
19D2uUyFPyezBiOCgSxFwjQY9DauoNUM0/3MhiV/SbF5NAgV887/KThuI751nR3EOWmSPrAYXU16
sJjp1L5LEO5jLccsS9KzRmg0/uQ6SW1emIjBrdlmyZJ/jFCfa4F/Qf3ffGdTsog3HSxD8Do0uPB5
t94SVTgWuFzGZbaO8DVG25ye5JUr3HthkiSanKcMiQ89gaO4jA/oAGzS/8femTXHbWTb+q90+Lmh
kxgyAdw47gcAVaziPImU9IKgSArzjMT06+9Xsnuwbrt9u+O+3IgTdoQlk1UsVgGZO9f+1tpzuNFD
ajjpZr2buZGQavQu5pZO0iXVtacuKYuc4aEu86I/dxN7bo6GZjD7F1uIWITqVLPtdVMZOihdazYu
G0E61Z2hB52xxhFDH/pUxvVu1ZXXX2fDiNGlksKdHrcSpDH0xECTJ7PLmoiZPjHGV08NbfxozwOL
f818g3zazo2N8d2UrOQalse5TeyVeooR16HpLqM+rE3t24celX0+Kwu1iSdURSnPs4JOYNiKCgBg
h59Y9F7EtbmhbZ0UNWPf9ZalQ1tVuRFwz12pdlgdeo2SeIy9MEGru31mmPR7VE2LZw1KRqx5wdot
rYz61JXOYVy0vx1aZzFETaSbNWsfTS9hVlqjfTO/lGY/DE9yIFX93U0cXV1S2GbuvpSp9h/mmdZM
VCZenuBOBEi7zeq6VBdxUtbFw+zxxlysllcM50IzUudq4rVaTDRfN3mba7dKzpe894uPHPSyeAqF
plruorzxKmRrh4y2TISam7k1QrI/1NpG9AFdz98X4ICnCGP3MwmGYjBD3ycAs9pVtIIGfaQA63lj
Rzdv+1v26RrhGRiHVhq1m78+2LztmKt8mRbbR7on8bKfuJP3/ra5lxyilXFhGbFPYacE6XXWqY3n
WWciV6o9K3K3k5db2eC8Nq21GT/PmfYJrSg00SH7MWmXNQ3MWUmXHqcFdCW6wZtChbAxfKkmIutv
G2IXBmt/ino10TQWyXB3r9/8KQ/9ap6LaK3600S5cVDXso+d+ujg5J0PXd1qO0qmta0vrYGcGiRS
Qb+1WXtX7zNEfDMwBtM09vQoxywqvcTn2Nl2Q0uFZFeZ/bK4TJG/iLckX+6JZHBGtPc07rc3u5Z2
8rUtGlEehY3V8ShQfbsrUgP68bEkkprappbOcmk6xrB+WzuZt5frmhgDAt9ieeHmU44E6Mua3ko2
DMB+3ehcaVENcziuDA499ryEPNKbZRUhbLyiZ+44J7x28vY+ZPN1OTEZ+KOYi2S46sfNrM9dxt5t
p0/bjfE6+OPKZPjBdfKvyHyGHeXSM9qBsFbOM+FQc7VXOyrrgg2ShfR0zJ/7dr7xjX6yw9UwzJ6b
xet67BKtPL2DfotcRSXRS/9mcKfSIG4gc7M3fdof31xNfAJecpkcu8ZfzUCw3pUPdt9bI/deIqtu
DFpvwFWNxMSgKDcVmYhsSxrgNXbSxddW6o7znmWULMSprLPpfcyXdrlsNreSz/2ilcPhpcv1+bq6
2/LsuVU73ZwyHO3DUOk4qAi76QKq0eQklrfLxJ5LA/PWW1ffPR9SnAbXNEoqDO/UxhvSVlegWkkG
VzpyfMG42nkBxiJr3i2qLVDt+i69B5MwqYgmhjLf55CN7IvM2CC70Z+82H9yW+FDmteCftZ0Vsd9
14xBht/PCRoPjsAO6X33+h0hKUG8RbAR4wtqxZYZgRopX/NAssqOaIhlg9sjIKSec+d+wR7KcKB6
cVT6GYf1qvtAzwyx6c6qaZRZHs4d+eHUoUIt0ox6OwXliP489CPxvIb0zuhU2WMoIIKGwPDGLg4J
SrY/2jzauJjmNGmPfnrSfhOO30t7WjOd+Kaxhn6HWrBpIGsjNo5/jvUilnVwygNB3csSCZU3OtjW
VN7QsKp1pGLM3/8ZwfRjspBanbpq6qHcCf9T7jyq6T+D638MFJKlPdGu4Xnt7N5DtMjkf2ihMX+g
OhvSGv04c90926RARPIncTWwWg9/4OH9ncAqWga/BfWQwqwRIo3OhMH916VNNl5Us9GQgTj0LYKT
NeWMBXD9zrpdBqRbDli5IcLGWPic/jVCdaKK/hlt9AP/mdCiWTKjd/cN00zLKMPUcgU82IXUa7Qf
6cV5f5A08Hsw1Q8saN8NXGowxXsCATr3YVybWEdtQp0bzexMpJMS/1BSlS5r/Qfv8O9Alj+mE+Xw
Yewmltwrj5kcI7Ezuw6t+Q9+od979h/os5aJfoOb+hJypPpa9ObT7LXxH+Div/fcP+ChlOld1Sax
3K+M/QjSfj1murT/wyf/gTAbTXOsG63kHg16RyM1C2IT5fFfX1C/98p/wEPjZcpG6WdqnwhjYE+f
4sBM2f3/s2c//dR/YFutorWhg3hfrK0im3f0mTK5NQ//+sl/5wr9MZpI9WY1t0vO5ZK6vvU2oCnN
oVCrxVwhz6raoNXQ2AdMTrL9j8bz2T/GFKVeMrtktsg941Dls9P1w3VuIq/+61/o++L6T+7uH0OK
3Hy1kYUSZ195fooC7dfrTHOFf95Xc1RPDpU3/6d2zFqdZW3+mG/Zo8mVJg/xkOmUs0qS7pjO+LZM
NqObg9GlJPvl1f3X6/K/kvfm9pfXMfzlv/n7a9Ny2E/S8Ye//uWxqfj3v0+P+dv3/PYRfzl7b65f
qvfhx2/6zWN43l9/bvQyvvzmLzvq8nG90+/9ev8+6HL8/vy8wtN3/t9+8U/v35/lcW3ff/7p5a3K
6ohDT5+9jj/9+qXj288/QRfSJjm5U/7rH3/Ir99x+i1+/il6L9Psnz/o/WUYf/7JdT/Yti9NqTxq
+9N/f/rT/P79K+oDAAbJTa7pW8wQ81i0ayafpj//ZHkfkCFsEBnTR79AL/jpT0Ojf/2SIyweJZRt
mjyj9dNfX9xvPqO/f2Z/qnV122T1OPz80/fhd3+/pPjlPMu1fMcxFc4qGiE/LOdZLYHTfNoiWY+S
DbTS0dCdkvlTOo3TDaDgozZ64762R0piGt7tBYALRAN8akFJmpefq6KfXqiqsmNc+AwEL5Wkp+vr
AElh3GcAY3eLEss9T59S/M3tbYLI+84Z5OusB3jHzWcIXY7ypRqnuW39OX7sLPqjnAWHZ7txqpfG
IxjbQFQOhrgobtdG3hdNOV0QEAlqZav5yc6V2Il8i4OEJk3kA1w8NI3/CXnNCc0ZIrMuumWnDGM+
EzUc4WJZWTQMLUXb2j2Iyk5PoG6Da2L079vFKCKtx+7BqYjQHhJq8WRmBLnXj/IAxdKd0e+Yn9lc
QW6suPyGel5fTnaSfvVU1SFPDONXXXvDY66titT+GDrCUfh4ncl2syivFsOkPxWbX4ocCZwZ55rj
ledfzibETEhkeMMpgH7HFyaAZETA+NLJAtBZ8bkxXT8QcTsDkGGPbYJ+kldyZPBGsLqF9+QZ5XCR
dmZFneFt7YSluiGU5/tF/v/6Zr/KXoFEm2/jj3f7bxaI/5+WBOX4bFa/vx5cvPcv5ctvFoRfHvL3
1cA3Pd83hed5qKsYxn9dDRxueXKbhDLJUHW+Z4P8uhqY1gdXeHysTK9CnIRm/dtq4H2wHClMns/i
uVyLPIR/YzWw1Ol2/8flwPV9xRolLCG4HG31w8YMTGHMRWEWu5OLVhGwOwcaaDwLU5anyzoHboiF
ti6UvTUH7prx2FR9gR2o8turtDDGZ2d2RErfLc0/KVhEGQpRN0cQEVAk3ys8lwp5rPcJUsENZx/q
0kkphkP1smtenU3qi4FSuT/XQuk+1LCe0z5heBps1JaqYjcauNZBxdp8iXKWzgiODi6qlfT5vImw
wMiz834OxtJOu2CdlqW+mI3C/SjoExe72oTxk5uIL7ah6/W5lwr13G2z9Ywz1nukazvfNNvYphhu
Bk6AtUiAIjxFY7VIB9QNsnvPieXfrocarD8oDZGNweTUznRu9XEqoJzj3jhXnNkfRD1ruS8KP4No
XrdOBUVi+kz0QXqrIweyNr5JXSr2nSRCFXK6chTT+Lq5nG/UVLnDpaUcNFgrdvoybJvCcYMUjZV2
p5v0Iszyqv0G99lcWpogw50g/eWyWRF8D0062E6owDtTUkjz9WHerMoO4gJWZj+OSzmGJJPnfsSw
GIR4NIjitTDAa44rhQNOgIEIklMnzvsksiG/KdCRDnwyzqMAwzuscbxex83q31qEknKgZo7wsqN3
0ny0bBvUb2OJi4kN74vztuesHDpTvzyJtnDvik6oVwGaku200rIKaOLx1niJtzFYNlflTsvBeu50
pp+9hJYCk1QcSGZPVEKHjut2F3ml6wcnPWkWORQLvbnRNOajs4wspnGFvpB6/IRIjmKqdlrb9n0O
zH0ggCe7GypnbIIJQ9urKVJIJ3C1FXLft+brvJzSCx8+NUroMb87dTokQbzJPgnjyV94C+INfmMy
8jXqZGbFEbHcJt9nqi+dq20dVFQBRcimVi1Atk7r7GdhbfKwLga7E/hKLCKUkm2KIOnR/Uhg6MEr
1HA+eNtSRE7LiCOUnTaTgWh7/U2Z24L1ZpN1TI+rtf2waot5Ciyv0/vYdLx8L4D/7irk4gDAu5j3
xcIvFsypzyi9lQ5HRsd57C+7UhVvOqMnf/QqDqBko+k+UmXe1AoxIfUgnkjtf/B9TA8DU2DQPoB5
YHuCwenzp3bzcbzDmta6n10UeeW3FxDjPpejOpQrAeUHMYj8CfpenDn1uu1cIuAu0TLRT1NExW6x
4g6H+OzOV6tfj+ad2WfNUz/bqDWDfTDlNOvQJ+ozP3f8qn5I0nw3lsM6sYeaAwR7z5WCJiOvhPbA
SkavFjM/wCbgnRnnWQu1UG2X1mROflgAvepzrB/F+kRMfmeE3bpOIgns9SSYTzC0PRrSlHP8qPIi
+xoDld/PulZfi3Lu2ogGSJce5xVI9SaDp2PiB7eM3vuyVSKavWQx1sDHoO6RmQavRRNUr9uVYRj5
07jSHQ06e5R6rxdnZbuWqaXdgzGuLPNBjMHBCBK08b1ndN1Ls7QXNQGH+JaLaAFXCagC7ZAGAbmt
UvLbBn+Wrb8K3epuV1RLeztYzGNlCnvxiwbzP5v7H9T7ZI1bVOe/v7lfvaQv/cuQjv1vdvhfH/fL
Du+JD76wfMHFL0mbcE9V/a87vPWBvdWEYcax9L2s/3u9b30QFpsVFQClveucQnB+rfdN+YGKQLIv
25ZFye85/84ObwrOB7/d4kEcHMc18cVwIDH/j3GhjAT1Fni9ZbeOrTUd1Im7W6aTMWZLnW9JQfZ2
OFaub0eLP2096/LU4QBIhHnhG66RMVU494KiHmTzqeIw4F9zI52+ox6sV7tTpoiyzT66i0OfDrGb
qLmS3SploEletncSov/ZcGSWPIgVrvqOjMZygCIimS4kJpqVra9VTN+knPuetmfr04RjNk0BGgGH
D4ZqwWb4VkVtshLb5oaNrJPbekzMb8ynccDomHgUdoX2j13RGfdWkRrWtS62qYow6jgAgpnZFTcn
Pf2S8Cj8ZLIE9zHrfj4HZMLg0stmiq9jJjTRZPe4IwG9rU/0wFbzbDbEooPOtU4Sb0w3aoE+BZdd
eie/pLw3h5DCP61Cq1iSPmqmwSHbOclTEGcY133PCVBEqBHuFs5TnuU3sISCZL7F+qjgCi8NYa/J
fqPXUh4MlIXiHOZEgxqfyOFAcaZrgxVwZMAy6Dl31mgWK+01RwMWyDQacy/BJpVYNy7BZ5dm76Xg
j0n7eTCNV0kvIg8If2w0PYhTsg8w6hggI3mB75TZM8+G5jMl/W2M8t8cZdmiw2+YUcg8EIlzX5B6
llzVSTzHIcGIuB1wotjDkdXeWPZzoxpQRCXkduWAoBjniWu2KhTz5hgHWhP5c+9tsz7TyGLTVdwv
qx/KLBusyEPhu62XxZxDaIGhvgR4wegIIzrWQTO15kGOmAHCYc1AKAXVU3tRLBXx9hR9etpJ6rGD
tXjjGAHNWM0u2Sz+PE72uoI9p1m8X4tioim0NsO6Azu1zF1KmJEVOPS6KP3QLQ/5YjtfWxo+Hyvw
gpACpn9rhthczrnqoCxFFa8Qaj0lVCTNBq9HL/QxKYeR8+rmbn0oDOIUEfRjdZ7nwv7a+qZeDqmJ
r2GXLskwRVCbfGIr0dDn4Aqc0DJywC6RJ9K7PnNv3bpQH4eBIQ7hGHfGkUokhXaeXREMYKzPXp2b
94ZOhy+bv6oLXxaHqbHof4Eze9ZDzHkwJbInGxkX2yeuCkxRNF2oRbs+ZLW9vRGRsV1NJ048xM+T
mje9TlzI5Kags2LVnBkPm0iqKz/3+/GwOA3jXkQ+VZ9HY+tu/NwVXQQCQRszJuytCQmmcx67NT1x
olbF0DjP8IjJKYpaXjojqdTow2vm0uM3EvNC055ZgiGpnKu+NfHLzWmzlhhaq+wLbg1r2dEp42o3
E4POckvfNWq6FEbBE/GTsWEw21xso9XS1G90VGl5A/nsk9hZnv2J264bcs89M6EpPq9lwn3T+jhw
kkb2oeNUzUUtyulxYDBiGpRryVpQwlVkjmPf9hCnfeD4eIr01FQ7pt+AMjOLy6oOHUHzH82qGC6A
tZIvsrBSf7eN5AreFUtGHpBrp1N8Bqkz77WFDgAm1q1BTkQFJ3Bhai6PsnvMqA6Py+ZymHfKGuQv
VTNhh7GryrdWpv25TffUDkFUtydtJvVrNzWTjy3CXpIzRGqvjarCTUK3nKedg05zjWXVYEKJhRIy
JU05P7Tkhn53X1I1YppjFEHvVx2ojxW35xO+N322rHQxUFxFm0eF7agi3GKu1VCKbnhmjIp7U09W
E/puZnzBc+fWH718MKh4GEaDD6DwRQS8Qai5yzbovVbGatOT3+wzWv9cnukzzTPxddQlxgmryXdO
VvR7X6ddxBFKGSzhlR01ZsaPJPe7OygHAAtZ0/ZZ9k8WLeo0v35sFs0ZxnTabTc5XXxfrYZ4TNaC
d1RZszvtamwk86508vxO6NilOy6sCTcGRIBx4eDKeVETTNMhYYBUceXY8RZ6CUsOnIpd7VqLDjmR
7L2+jbMige5gmYumZDFH1ouMiHmGs3ElYiqilwpqOn/0OcRtrFdmFgcD73xGApqj7sqF5npYrnVF
caux2kZqnXghlkyB7RgzxwawucA4aQtZEqYcYa1j5lkOhF+VqV3NauZDUWTLRTFm4sDFvBlHXZvJ
cVmaNguhqvzhYBnMsNuPnfQPoCDZm1r87plavLkzpjHDKdRl22vhgOoEjSuxFi+59pqIHzFW4aRz
WKnaKYrDIEvkOaJCT7lharOcwKMDehvXlg7oWFf57VBsKwVCb9svzMNio/Pqun1cG2+4agR0YKQK
ZpkD6LC0+kyL9IPJTarrRTXZve2l09O8Nv55sVKY0xUzNk5fghCFxAMtuCr8bX2cNuGRN5wXbEdw
0F17WJT23t3ZWQ+VnZjX2EdAzBpjbsoA1/LcBTXt0YYzvusFZrak8Y2z5st6cHTe+rerp6YpMEDG
rgy79z8rucq73CKS086zhRZDda8rP8MrtI1pFNdmRrYyJF2cTMYhz0oReHr5mrclXfmWNdMSQ2F/
AXXwyjCxNu95zLT9bWjpg6TO0rwUxgak2HRTcRQLOWmsMfTeGeTysDq5poeuYUlWMv/DabGye6Or
3XOzc4V1NtmcthjMmkZlmfcBQmqShR1m4UBviV8GDsfR0O0kY1vcGOim22IOiIml7p3SqIovAFXJ
pZqKOVRNuh0WDsU+axyB22k722ZY8qLP8qSBXfJMa2Q4YjJfGOmcYPBS87ir3Wx1d2aeuddTZ/Sv
U+kkb5Ct6ed0WB8Nk40VWjlxMhCmvtlnS+tEWKbFRunh4mzrWYt6Kq/Nmo5OPaqvnZG2gkje0sI/
kudH01nlGVqId+fQ3oHsyMzHUtntF2miIl0zOXn6pjy3nqkNCqu6UWPal1Gaz4baS2sr6FnCQOyw
/jfmoXGK5WtiJf7bTKDF9ASUWmdnqjGbt07aor+bY8t1T2lyrn/uVJzYLjPf5G1McAatgUMG35ud
lJi9fAf09BiL0sEaSzkHRmQ2lX9e1/b00AnAtCjDmvcw+0NjH5tFVds9rod72v1Fcy57JpoHtj+v
dxzfCMC0t/TKpOl6yCTTXsN06Udm7rJljQywaQEx06UJrS7mNqEQxyu69emxQuQ4r3MjO8T+bN8I
h9EcYBFzsxuXRYegxOXOFwwcDQpqkLfesZePsnbTHSqDFbn4F6iiG+/JMOp4xfcrvPHoobjXL2uN
i+qMhdZ/XLPcedNYq9ogcfr6Bta9e9ILTr7cxvV6bhdreTlYjVuGGILNZ0sAkSpqtethlMmZX04J
ASVVr6ozWSmHVr+12MGytm1HYF/rvLJBlhFbllcw7sywn8d4eLH6Lk7DZSpLQAn6e1CEXfdsZrI1
SItIXXxThPzMoZGt9VOX6OQREs9jRIDCJiOoFx/mrlykx5XcWZ82yPHQ72BgX0fGfwaO4bAax8D4
1OQv5rKpUK/pQ15Y5tGwbFb+cZG2f94xjVgdxGZO22VhlsW6r0qcdtdZM9k49mfDzQPD0XZ2sNpB
bXv+VLmsee5EvplZe8k+63S7H4jcXC705o2POH1qGZIabz1kOfaCCCNrgsG3aO/7dUjuufa3wzZt
GLYLj20+qjetbzNwyBCUC3mkHOy9ZVAVZKXz7ihlDQCNPdRr7+XyOOTDmj5DvGAC8K02xj/U4l4J
NlvgGyIX5NaZl4gJVG2waJ3tOpUu56Lym53N9OUQBv5LoecMCHLYMOqmpdv7gZ1Ked0t/ng/E4nO
vEcr+9Ty3h5rOh8FoF1dgGcbvqEivMxZthMqRbNC1TI+o8hq4zw3Wnxr2q7cj7M9oXXUuWNiL+2n
5lWUnrsEMRvtNTwjh7PGPSWDDMysfMjWJS73DWogH6HcPoPgzl8AEmMV5ViWTIycFXS7Y7fDmWP3
yxcaPaPgOFY4N1lqi0cKXFZY5pNTrOs+PY/tZnmv4m7dMwa1PPZmvGWHyW+cKw4NXox3lgS5vGlt
JrVynIkoMjY3xEaEdrwVy/Jlsda4DSzQGYtPMd5VJehASFbHNgZuYRf5jpsZb8NM0MpXbl91OeCx
oFdvCnZ3dN3kEKdp2UZTWqLkdbiqYJ+rG0tQDO1iZi2a0KYp4TKciAVMW2bknKo43qiQQ+7G9J3C
+iJHNrBwGzXnV+Q3J0EIRIzjoOSr9WMfD6aDLsRswn2GkfSNqQ3yOAGXf66Y5BYNqewPRcsyv1l2
TxbLqlhraHHt+pq2WQX2nwfYjcn7WBeNgaOy1PDFMbr4JnEneabMPn3qM6/0IsxcabGP81Ldbf3Y
DOddYyFIDn6sYvInarXzqgWFWs8JQ0LxJVLXAGMvN15L6zmExfPfMt/2Huwh+YhVoi8DmSs/IF0S
Hbfd3D3tLXGGadQ7XwdM5rAJ9REHWHsLECuitleKaIBVluWOSRLDfU9mTWD32sWiWGfDaz6matz7
lj/2B3fEa8CRfXxjKO50s/Q5Ll8GnKOrySZJ2KSXVbw44yyiks/hG66L7X5K2eCpRtWlo1N1l7cJ
3Hsaz1e4BS8S15cjZDb9bewzE+OW1OugKXgKlbhBZtXzxZxySrI6cTbkJRXvpOznbUvfuNwW3mNE
Wa2ytxJv5XGI7SoqM4/3O6dCXkx17VRGe17JgRc0Ne0tPCkbKAkRX6gpmHTD4qcenOJFWFKS7hlL
Cv3ajsj5rHem08hjUYv2geky4oxsGHAFP42aZrDPzKx233RpmIdY9A7xFcVhqz38/EoXeUTSXr3P
q95+6E1zvXA3T5zo5PoCu9b8ovs2jpy4qCoslatYDjiScdKySM6vGwI83EBhduEQS+98LDqKLvJG
8pLR9Eb3IgvlrbtNQYqu2u4P0FTmrlC2e5bjvjq08cpxf2qLW1xv67WSjuwDOZfY8yEN/MCbx+19
zQeE5IIKMpRO5T2uUqnL1WrBeYfa4UxceiHtBxFZVPLvpbH0Zz2662kz+dSBwZrB1kh9NSgW0RG2
LQ9b2hrxWdX4yYFhMGdd6RVnNX70wLRbxI9CteNHyl0GOpfr0IbL9zPH0iZRN8jim2en/lH2zXY/
r/n22SwTdV835A/hwmC6VGc56xDUgHdhJlkuUW7OZAPwbCXMEy5NdaOJgeEXWgg/sCQo6ZlFdMTe
1k0cJu4oL6eS86l2ne4TiTcXWP3JNhDSlff4scZDV/XLHe4shCORVl5Y1MWnrrTFp1hUbVTqvr+e
bSzn6OfWvj1NaigHwoOBOxjSucpbRl2rHYh9dt4KC4F51Qd7ca8ZTTGHTuc6F6u0TAopf4uICe52
tTVKzsgTLbYhMXYTm/Fe+YLyjqGulyxU+Y5bxnuuje7UKOiBxmobW7BlJo8rExGms0xMyyMIIiPt
h4bWSYdX88ZLXE8FSa4ImimNeceKuwaNXZf7dUy68w3w3bpYzLwdd6hpxzVOh89G7olHScitwVll
Gz5uzGTB/lXYzx3p6GduVQg+1U0cWsXn39fJuHOHMk/Ou2WmDJnTOZqklNQ5W+F+XeryRdF+C5fG
RC8Yt+od71R8xvrQ3NPSmymHYuO6xOe3c+KZ0SBsrJq+eJTAMTA5FFyZNBTIhKZ0r1uJjSIYOQ6M
gZ9yvAniWWYXZLbWRxdk/V2M9i2GsDkc6ORQkMXrrXJWtVsQ9EOT8YfBSTghl4Wxjhjxj2rZ0KbW
ZlNPyqrkZ0n6gBhSdpJEZxduN7ZnK+eNHckLdXYdL3L9umWl/bEoFvFt7hkWrPHS3WpcXLmS23jd
GvR2rtKJ3iTPlR6qrXztpGkNO8MelgOl9/ot9fLqthikdeimqdv1ooKlEaTlOnqt95MHgRusjHqh
ktpkYlEOu8w9L/Jsm0OPQ8sdxDRYv6RN+tcs2f9pK/xBWwHA5pT8+/tthfuXHFQofan/ERv49VG/
YgP0+V0FAABZKf3vbMAvPQXlf3A8m74/EIDzXdn/W0/BFh9Mk0nhVLy0FkAK6OX/lSGyP3C0QDMg
FwuwQEj57/QUSGv6oaVAFKXvovRAD7g2t/0PEBGSwGLUxjjsBSkSp+llC+4sq5T0gXHiqCOFNcr1
cOoynPl5jnDfMXCqjiqjIImvx8LKtp54FxbDFnFjLfal6vwiC6sV80yIOavdsMjIugtzXVn6kt7q
Xru5PRGA5WL4Qqigh80U741IW2nMIU3OmKicmQZCVtXqmPqQPvSBq4pR1mtefN6yZZnRiRlssPMw
35A811RIZaKOk8uFdKuvwLME5Lr+fLZMvne7FRhTOo47O6qcgpW4aHZtp4v7iQCB14nYJo5geEw/
ijJWX6tirD9ZOkn6cLVwfweVpIqEYxiSt0m4+XPpVQi2HXIV2Ugz2M6ZO1XLwyCEPqMc6K1L4Xb6
87qyd2OlXj7bHklmwUx9cJ2tQy+iqjZzdLB6pN4tLIuWQjka2HxVnnSkhVZIRQwSMrEUJLD2N1VP
yyOgt+9/bjFGJi+CEcF5kDUM+trhrj/pkw5bj3JMSe4akSrBOKcm7ju/Ns6HwS6hHKpJb5HBlmBf
eNM6MHWzbhrz2NA5CRF69TPMVF4GyO4Dv0BROm0glr7ad3mdf8VUXVxuudPeknvrvKWmuXxkI6GZ
gZsQkn5euvq8RQ86QVjzsovLuX2qBsbVTZvXEIghgR4IIOwQhMSm5VOqk/Gp61pCSbrNz3z0d6e5
N1WSdztewfI0zWN5W7ddeleQBdXvicbwD2k2Dme2WJJPebK4Es+XzFyP4lMvoCOu3p5xSkz9uQKv
xCWaAWrttUGK28FwpvxFDhMWXtKqEvvCdDnJBbIXzE1dTSy1lRAcYbop73eMrVxbEDjEDsCNYYwD
2r4cSvzVG560UjR/dDkvn3OsXpd55vtkVPm443fTGP9v9s5jOXJkzdJPhDJodywngFAM6qTewJhk
0qG1Qz39fMG6Im9N9/TcTduM2ezKrDIZSRJw8Z9zvlNC1wzgR4Z97k+EDjum9vuprLt2H0/ZmaLR
gmKJTHJkexc9+hJHg32n+0k+5hk1YUGe8KlGRawyDAjN3sbZ4BT3BGDrDcMA55C2vnNrseuf5tFM
un3BHbfcWJasXpkB5ichCBZEVt35H5xFRWRVpTR2pPKGizRefAZJswO+EMVlG1S1/xqozJKb0kJW
C2ttqCaCmRBM+NzpaKGErTtKokrZru4SWIS1qQcMEoazAIUZ1D2DWsaR4NyCF5Or7DOUVPnTH6V7
EtOI9mMafPFsWrih1vJZj1xkQvK3dNYMlvsuPGbqN8pVtc/lbgLbB91J37TVSpAw19q96EYXLNBK
IifbOV2jXzzMMT+TTBFAK0AsFfuOdSDb2fmqnUO+2CROlA8ycRObI46O2M9FcmobhZmpTgUH5oR+
whGUUNBwSiXBZ27THN/BhqslvgbsGlZEUrIbAAJZXOnrWPKaJ+awoJue63E2DQ8s/CYjZY5Iyvxg
B0nxubTa2mWYTy4r3vB1IzgtfHBfqq+Zu3n72TRX0uRcPzZ27LgfHfcWUD3Cd0/MQ9LuWul6fDNW
okBZ5fYhF9jgUlqZeuSJ4qxdBjyVVbfWOzaT5TXXS3HdKmlOYYe2IXBVKHvv4SkPOF2OH1nnznuh
eggeyYIWksz5HOnM0v2JHM/oX6rCX3+w2HjlQx7I+F1mhrxmUFfxAaIlg6ma/CVFodUgCaRgzFKU
xnOLeHqdj4H5paeE4IvMcGNvWqprBC4SdWmadv05OG3gsLanNldJ62xqJNiXAYbBcWbsaBpYBPaS
jtcMNdfsw6FaHfuqE8twELiwH2RskTG3JgaApeZNcalPqrY9lIuT46VvarDKg1Ok+KDtRr8Xs25+
6Gl0Q7tfzA3HQuMHYa6KZg3O02MI2pEbJ6NZm9zzOr57AZbTQzo71W2QQxvCKbaMjNYH7yiKdn0Z
8Mg0W4sB7NZqqMI9dPHgpj9Mt5w9/mycPrXMnsyNTmSxC9juj/lswxfg9tqwHE3kz3XciJsaA/fb
OfV+ay9WvXPaWT8VapbpbZkMJQuKrTx/4xBpfMuAG6AJ+LMT6qlBGdA+YkPa1ZKcaRvMQFbhZjwo
Q49fs0jtMvLKsmW87UIWGPqe5HicKcxVRlkPAL9ib4RQJKCEjKQWN964SCg/a3xLhmo1cfUwNo8k
KdKc0ZzlP/egGti4gRqbKwQ/uwygOAQx0JtAzGQQbahOekwe6vKsx1ly3Dax9C7ifNCv5EkmbLvg
+3CqEZErIGdpx8BpJ6pLb+ycm6H173Uh5gjQ5XOtRl5MdZbOsoHhU+rFp5QBQrWZe/dzTjLziAVY
cjNjXDmMzRK5S/qW4wffxK345c3pz0G5BldqXG5DrEod6j7lPuep2X0ecuLC27phJaZsuA8Ad9Tu
5BxdEITE7lzmTUe6LZjaegYYqtCBGzVyn1iclrtfodfd3Mlu3syJ/KzrtmaUbg3WU9JIY900Jh26
hykv5Hy98vh8EgiHVjONHHXcpCiHyGRAjmSaLUQqzeyQgwfb2iOVgDrB7qznQUYYTkQfFU6aHQGh
mtsEzMJ97lnFzhtjxrJcqT5K4CNfMo2H10I64FXWpf9ptJAk8tV302iC90JW3Yv9a6Lw/qYKpopb
PRo/+naH+gxSpzaMRzdJC8go4H/rUOa6rSJQAuN63UoiT9uSB0ZFZYN/mYJN8Dao4mo+NqnhXLcM
YAH1zTQ3b2tLOy+2SPLsGIDR+SXb2MYlVyCauLIpjmWJ8BeyIowMj2ZT3qxrwRVkrbrgalqb4NIc
7GUJB4scQ9n0DqP4zuB2NibDz8YeSFmgGi9vpk27NSlMpmihNiTjPa1iKk4q3yrTzWBiYz0qv1j3
5eLFc5TzU77CG0G8UufOWfCZ/Yu87OKwsWukqppB7ROHqBWoDObbj75duhdNxvyiYN6WRJUtuSOz
Kc3XqgsYfhVBZxqhsDyiq0DWshstuENtoHUNUeODiYmsfOj8yxH3O9MHSzJkY7HbTRMJ2bN1oC3Y
Vk0+zy6Q572C1zScAymZ7zGtm4K1fqL0S4jQk2l9lIYQ4GFbnR24q5E9Z9CFOKbsbtnqlC95mdZi
SW+YmKqrOes7Qp6Mdd49P2jv7Kb07+O+Ew1zXH/oNmpcUQtKbfOcoDXyPTuFNndjn0UdseJoHBIA
mNTDdnceefWTjs9zbMoF17PNcPWA63AqZskA+sC4AK/9ViauLJ+Vl9W/7K5EAsuHheVCYXnptrh6
1oYq+6F456AQ32PTXdSlbJrepA56WFZem0CV2NxSURH0zmCwsEAvA+jZZHjKaccYzy6T4UbXS3yq
9Ij/g/b3X6X2rPsJamYfWU1Q3CXrbDwyzQuebGiOe3sMgl/aGc1HEJXTSXqe8brgG2zDGArj3VRn
+pX1l+OC2w62G5ayz/Zl5SJzTiiYR/qyluc6XRA5NHvMs48XZ0CydplTQtzJ8n1NqpzbNhi4PlT4
GAtOymYOs8coOMX0KQHUA4PYEvLGyNi5HhPniPvFL3atmePE8hN2t42bJO2yj51EpRfr4OcnT7tL
e9SuBesszQqKhHVQBF9jNZYffUcv/VlxrOxtz13qyc0W+lr8ZJo7a2+SRzwbH7vEvSDH3o2sWVmT
7TwGJCMsg6oOjPe668VhAWN2loupdsuOSYVQOod4ppo1wrlWyxeGMJa892rOJXvgVTZ2D4ymHr6O
WL97eKH7BVfFboK8ixxTgJC23RqQVeX6R4f3iQdzNWR5yYAXJiPS/uhcr43iwOrArIZJ5D1gzWjX
izxecFWc6+xuwUGuFRM9KNb2JcqdEe+TctIFjVqKDikTFcQJnXIcuakUldct+LWStm2vkrXmeNRg
H8c7azWlez1kuGQvPKsfkxs5Ce3fUK8YT4esTwcMcF51h2GzNS6lx5mEyReu3X3QLp6z6+c1SY8e
kmn2ksJzKA9k2Zdl1+TkPN5Ak5rvAeKQv2kWeFpvzJKreCNmZQkOSYMTK37vk83gfux7jpkdOn1I
4p6iAebxtvlGuKsfwm7o8L5CkbGjGE0xuGT7bqdDLi194QLG6LY2AJUDvWj5flDoXRwD/flHUg1l
eVxSPzN3SdfgLK1QqLKr2oXuFK6lVQ/bIbf7HTLtCFtYTf6eppMgxmqCwWLXZPDKwqCKRXxRtYRh
7A3OIXPZsDOU+RZKTNG/zjnH7aadl/KqwKYoQoyyHtouerJsLiqzWoJDjECwbAaPOvQnNim/P9ux
K4455jRdjpMjyU6naT+Wj7BliL1bvMP1ndIDbd5+c5av2zjlatf7423WBsEr8D3P3UAnaoCV8u0g
Snbpsh4sJcV4Sgx3LeByesLdrIYYdgIJEjuH7IxTWuavQWbEnMitRt0mOeb20o2bN8OZA8QBc4VO
q+7BT5o66tIcj3cRTAVsbmfMwGj6TRKlMXgOeyjZpqrEiL8Y5hn20RIZNyNGDLg7hiJZPhaFSeLY
T5biwGqOCCrtqH+AVkGh9JVz9oAs5XF0WsPFYl3ca8BwVGCDpT6pmTeWU0sMKyKGU+bD5FHjz15I
XXB6l5hTarBeAsGJe80h7Ts0pZ4c4FOvHMXvQ65kfopUWTcg3Qv7imDEqCL+NmggtxohSbdZHWCe
A3FrhUNnzvtZISS0LP0MABnzPyI8cWPK4Uu8l4ZfHQ3mmAB2Bfn/pujPRtDV8jeF8lDo19JzbrxC
OfdtWrvnnGF5zOzFXH86Fj8Of/K7E8/l8MBPPjiQEsOtP9TCqsHg9seG2NW76k31tCzpAHlaDZS5
Z5Z9gWUSSD4JRivU0ipeVT6KJsyxXpihqC3ggtPoNWiQLY3F14HWLeuSQ+JkZ/CNISbnwYm8/oIB
Jj8HVioZT5R3ctmP+i6GjkoaH489NhZzjCYtY1bsFozb98juv226ef6gf2Qm/+/IP57txhiR//PB
5a3+1B/Jr65b/mVy+edf+5sd2v6DeKHnmi5OZEGuiXj13+zQ3h8e8GS86/6fiSf+z98DT/4fAsda
gAOT8wg+KAaOf7dDm3+ck5Lcis7rDJq+9e+MLklb/UvcyefAJF3fFE7gmvwnY9rfc8j/9NMb0nuN
cWD0cqqwjmjBfso9g7nYvFOBuGyq/6oY8pzO/j1p9deP/kvS6mxYyXOzb7cIxBABKbfkQgPCJo9/
Ti1Hhd9+L7d/ft3fc572+Tv5/eMEsqhFvMzxTB+t+681SFk8MmlCUtqNWe5egPNgOJEhxc/SzneI
ZC8mgu+e33S7LQBjbwMxMldsTC8aff0y1lW7cVf1lJXELwdx5WVzCNfV42AdP7fnE33ecsNK6+xk
ORC3/vf/eus/+OcTcZOUOjB+tHmgzr/I3wPjIGeEP7bw7ZG9D8Jxsn5TDwbZHU6FW2NYPSTERUZr
7sy3pNjSH27s3dgzkvNoy35j6vaFy48KUaBeDbe6TBx3b9f5z7NADu85PQ4tHPZ54s9i9M1YRFaM
LJPEagTtNIRrfFStbT4YePW6TVwghUI5WEa1EevdglMYPtcW4+2962UHtUw/AdpBxU+2jAsjuG9D
qNL8jlvQfVMsP9z2cwEftTHmzdsMX3svFn+JBvwWVzW3iWxDpcqRLLk+wpZhzAr5PfIk3wxy8ZML
7A/itq0e/Ny8q4wiZffik512LC5tNS/vWTmIfR1krPdkGU42IhcH2sqEnWMFXeRaOr2BQwPJn5jL
Ab1M7TxMuexrMSYqY4ovwT6vnGKz/nYaY/ewMoe9GPpavpF9F/QXpPUNlYzwQ4NG6U3l+29zHjM4
mhL7Z+Ot469GDybBudNEcew15FGFy0eC0smcvN55TP8vKhz5OH9WfCeVtTOolf1M0+wzZZB3BKca
hLaN4EtU4s44x3TrBTdIXrymMrlo3eBRjRi3Bb8aD9b5wer5C00GlHkq4yyiTKG9Iu2xnXX9IGhF
/i8a4uy/Kh7SQ0DhFXZ5JG1f2H/BIwSqttpmWKytLopKRakH0j5s2iHJMf+jE/ssXQ9pas+Xa6KN
tyT2OOw3ElApu319Sfb7cbZHjtcx6URgVr/wecBzys1i33txH/pBb94nTp0/963WV2KOza//3v3q
9+3q/6lQv2+fC6D+803t9N5VoATyf4n4WH/+rX+ocZ5n+9IM/H8E9/8R4qWQwDM9h5iPB6eGVf3v
e5r8w/VoVDbhYllCsBX+c0+z/uApIsTL/3H5D/rY/40Q7/+yp3mgA6C+O2SMfBLFf1kq/d4zGoga
wxbaGQzA5QaE7Bej/d2IV8iIh7uxzr9al1v/bz+l/2CLkeK8Zf2+x/j0n7BjW5xMPY/v5fzS/LZI
q8RzVn8tNMHhoPtF4xGHfxjplPZ43M+OtrkSoEhJP1ErnWIKnvtmLo4kLtfr1OqbLxTLZaZ2Ss/M
pHIpX2q51KeM4wGegxR8VoS6hznJ7Bd56xYtiHdtjsnO8WI7TDqn3q/+KC4MNRBhAeS/ohZh/ioW
RRGo391MjKwjUs8fmamqSOc0DgYYZgcuRsAAq/ulLOmUYprvG7Z5wk9iblxMR/cO1p5xM+Noob7G
sGBXWvm16MHtbPScTdfwgR9UIPm8eJn7PdPh8m7x6i35w8uMneoqb/hRzMFqrRh+THqq0jzlL08k
WcISD/GH4xvu4yB6Oqrwu6iblAT0pVeB5rSwCW1swM7lpjmnVDFzZJQBZOopnazgnukjStmKqwA6
1d6abM1m1LpRzKTqBVKoozhIuwalIjnjP2c05M0EwOsrnu2AuqwaMAgGlyH4HBr4BltqY8gkdoH5
yCSK+LOiyseP4sZJ7nsA2gV3yyWHEGYrnMtlvkx7acrkZCO/nibPAOYG95YBg+dfz2np3sDnTJMt
aRfvtiWDDeegNy/TnoOWbubqdlYTQ2f2BrSWtRUDQ5ES32HTxNW+dvV8OWZy2HH7qsKsy4IdGbH1
VM1j89hWSHVh2/SGiuBo1E82KSSw+Ai02PoAqu2hfQb1rbJh2+PYzoEyFIseGGVVbRm6fROgZ9LW
dPBNE0NgnSCuQGHH7gEKWg0DJmTcvZumkMsNfw77uc2Q9JdnCI+slh4rNvshuCW+0VuhSRmCF+rO
h2Nv0c+Ayx2TsazqbNyr0STF1CPQ791EgPGqVeM9ecso1u2aLX4c+SPjgpjZrtzQNIPtrhbNcow5
8ZxrArzmSutkeGsrmweJ7PSLMuvkVzyI5oOfTHrf51VwQwc9JqN2IYOwTTG+vYDp4kqd6lTBVK0c
FwKgNd76tuZTVjuxDiTngiHE4OO+TY3bX/hr5s9h7I5FvEnHLKmixLGWLRwne5f1nFnsenXuK0sS
Bprwla9ALM4kTmB/80dbYibaZGpq7sbYCt56WSfPXcpPb+vKrr4KiiIH+hso/2nEsbURWlvzFvft
/I7g0D8SruD2bVed/96mGWHCRkDgsKwOlgj5ZJLordVavwwG9T+SoSmfRi+L75A7xAssU/IgiVNw
L7cnLKQKxD3TbWvM4dSia/6ofc6N/aJ9AgitaspNTLdDH/WOLp1dmkjOfX6Hty7yZ2FzEmcov01M
W+6tZESxTdRqbcZBmgeoduO4T/Kku++msSUJo8zitGLYsTiexKwiOSxIDN3FZNwszQIo2Mpl/kTu
iZGqadbkXfxKYKFlym5GvueUh7U9U/8sIxO0M4z2+SKcnvMt1BnxxmcyuzXoCbq1B+HBag48QVan
sqa7tJbOE79Sb1M3PgwlXzb+Nnb97ofSTkKK3J22nuOVdwUxG1IqKDSbxp/bF6dnTWcxQwKcYEC8
sZjzG5U0wEBnERZmZ+a2BvnJkQJCkI4NZlimdnTk8JIPTkh7xnI0muFCK3+piN9nARUmY8WyMFKj
VEckI8ZrSN/TU0FVC8YNt+Cwji5hNweCs/YrAvzohUpj5MLkb9AriZE9u6IiVN8aJJweJVgVcn4x
SY8tdn/3ZSrX5rNVK0OIMkEb26RmwMx2oO5lDZuCATTRkm5RRys2bEEUy8mvy6o0k9vaVJzBXT9w
LuqRGsF9XzhDcLGARj17cC3erq4mgsNEIDPeJ/KIcbiomGrqyq7iXV/1eOKmXrg716GkMmLMDUuG
MhjDDXlwOsJ8QGwZF9dEM5CzzSBqwSJAIl68nj9CsjfZIAlpzHdwHRFC14sgGykos2V8xZPUvYnR
sK6MvBNPOuvKC0wW+WnNYHeeR2HFwU8WdtC80sszjZgsehQ2TdfuACJ/W5LEegRSDcOAjpW2RQx0
xSdpfv/HnKNspAxuQSo0Zt7wyonua0GEu+vIYiRhWmXDdoRicy3LydrxjTIZVnX5XNWqu1C5rNMw
E2w7iCaK7G21nkqb3IMhUIAFr97W4V/+TnvVNUpujHhreqg2HKR+Ajwrrl1I/9MWXCqxp9wBRBna
jSfMQ6wWvDo5Y5h3Uy2ixU875Mtl7S8FLG1/TJ5NVCB+0efejlDOs6SixeJ7m+NkeaHj1H9g+W1u
587298qcl9ea/fnS5+JD1xkFda/gJFCPoQWg6iguGCocM0zJoa3hyDGkpv8uxDfYvQHnGG5dYYy4
72L71hS994uEhBHKOF0fPV6kj4CJsxsOpp/u5rrY2266NKGsB3zcXTF0n2s60jbntb3wwiCAS37+
pdl3qdtq+EOWPmrGtcUlZjzx6gHf/sKlT888ig0TMwIK9LboLFmZDRMAsd0j3oERD4WK5ctCbvad
3SW98y2gJSxbkJrwIGtKiaJ6aAyM822fixta04h3uuPqznQvULoRkoBymX1pL5rRIXgJFsJEvZG9
t6AQr+uxfh7LDg2r484HT4TCl5IYwo6DAek2PRiMV5fE9X/4q5NMaAcIUGEZu9muSSi3ikp+EtZ3
DlZDLqW9zJYfrT04pyrxJakzYeF7imsSay3j40tUC/C2JGrzmWwtyZugOAigMGob2D3VC5bNIWHj
ajF8YdTNsEVpQcmkm3ry3nR8FaP4nzO8MldxHyU43Hk7HUKWm4l+Ix6akR7TLVgSgkuEuIz6pEfX
fZ7QD7CLW1XFQaggOOyabHsdSe9qI1fJdskGb311eRzXrNOFekm7alxDQ7sz0sA5kmzSNbpN0kWV
G5EwXrkkb7xcpG1q/IzTDgRx6pG42eQdk8qGycQbV3DUm0KTm1QGA/TQ6ZfsneYtVoHgO7FurYb1
o5KN6x7USA0GG9U6PU75ZLIZfweplxie2IZHgIB1jqdTXS2O6dyb3xHsYoJAvkkp44SN41TtcfBt
8VnGsO1mNw5lkBcRYbogdM45bm90k+dptilsM1ZObPBpiKmUPfQTk4IwOlEh+jH6R/eFn/KxnFPi
phfiZKjwPoD9yALI62qQ5c5NQV0wqkYuXRs+7Jwv1+ekufLJnJdIaqTPl6hM5+qgyNFmmyUjnJ41
hrGdykruwJYWWxHELlvuGN9ifsdpLrRcd7IrP+gRtZ55Ep0vgLvZFrfy2WBUi+AW01R3mSXzZPAV
C3G/Wktab80hSH4Yi1Ve2Xri58dL8URfCMsVSPW12qPbLc+xK/uH/jtun67evERM5HtrQ/eR/qJ3
QX+4yUgWj1QjseHaiXGSlNxuvhzZY75fjYTIfgNsbFP3tns19ajSqU0jAYFAnsJNnk5VEll6mb5S
A3dCs7akx1YWlU1TxY0mtnPmB8TfhJeYwLh90AS6gF/n83LhnpED6zd9ABs6BvE8SeqN5y5OwjZW
tcU1yEtmRxjiRhPBuOi2yvLTH+SqjPt6oVV3FXR7rCV2/9BsO7GdbDmFTH3wTnitnkwEMd+4yIuY
JqZ5AYLIQ+wHD3WM2EuHxMJJkI2yaCPVkQEkjwttnto8P4EE3tDLEhlQSx4n4daPFhrTroGD4G81
Q0EMR3MybumpDFA5vb54pjEn6C8AkCe/iCcDe6BXmVNRZZQcES3AAQPDNLt+MrVTPEy9KT/tUtUH
2vjm5qihbb9U3IypzXG67D1za2XuuMZ6NwjssIodo6Kwz/5GUKgzjSJALcBFVTHvpPggxksvXQuN
2MVzcYdiTWnEUPIYbrp05YANwk6FIGzMW1ukrXUqJOT4HRM480Gcs1iU0/2q1mIWZ1N/QsTRErG/
GUsjUwfPV2Snu8m7roeRI2QyMJy6SBEnLuIO8h7Lspcfh8zrbnsHyxOhWBd3iEshyGacm2yf4s49
worxmtCos09f9Ga3ISUDAD/ovDs/q04kj6kobOtjaVPEOif5Y7L6ZTRw+dridNtXwH33aW0MSJlE
ACfbv+l5AW5SI5ZbwkDEDQsX5Vxw/OgATiSQ4Ib87FbiYoHuESW6oE55nMxdToBoX7VWdTe5NBCW
S4cLxuLU6JSgqWM+ZnGLy5p8LMZ07iJiOYc958y/AXLY76q6OGg2Nopdp63q8+m28jvzyaxK/ACu
CU+q7PrnKh6RflIiqyPIky1tCcsOgfhGJAauW9vTPrnOOTiiObox5xNbgeAgFB0FcUtE18rxX5BX
WrdmR+trIskSr2M3uWEdBzFwQVn9kr3Yt2Drv5olyW/VSA3qMFbBK55IeSESG8tJ66tPyQYaCn5A
uivgPg8uqBK6kePE2/IVc+N2/bZUzA6KNFty3zyU3WAeyG2STZyQpB6cMjFORVxpSBRGcxAI9I8N
WOi3WJuY5lFKjS9ATlX/5uRcg84hYEBHVSzNdd9l+US2xbXnaPjGLqW6KT4NCxbTYpEF34zfiKbs
G9cE6gB0EwVAZz1OBncQZEA7UUgJP8ibCDcn3/AnnVrkTLxvKFR+3jObb1QUwRcWKklyJI84I/UX
zfeyM/BPex2+cVPzN3pqJryAMfgbSeV946lqdPE5tOvezenCOyOsnDPNajhzrZpvxJVrB/kSSUas
x+AbglW2U69C5xuONTmF/0ueiVnpmZ3VT/10TS4bVzJtWBxM9Zmz1X0jt9wzfYuxQH0YzkQu9xvO
pb5BXdhlpwi/joJk0vT0TpMTJEWcpjGX8wyKgQ39xTYvCTM1B5o5z/KrTLplB0R5+MAwIof9/5+P
/p9AT88jyN8Gf2eq6r8AT/9H37+X/yL3ff+FPyejgf+HaTk2GFGH6bhgPvp3tU8GfwiPR1agPpk8
MOf/87fJqC3+CJiHEyFgBgHgyEEq+5vaZ7t/EGHwAunT4eE5Ajny35iM+t8TyH9OKKXL+DXgkwCa
Alnis/4ytq8TMZkJpywynStKsTkbCSN8K3ayvVlrCHyyXotbnHP4ZwJijtxpFXLXJiY7RMXPIEZa
JYH3ddFaD1yaeMlxr+BMrw+zQbhzXy9gbmTQjVvbstwznZfyQrSN9ML1qFLfKI152Q3G9OhXFP55
VX/rppV9F/SkB5W9cM62GaMxnUuPvYrnK227P6TboAgIb9mbjQVRCNjLVdaLHVUBIBAnyoJ950Jg
9haN1tHa0XgOf6LChw/Ieu1kvRNcerApaXvreBrbdRtcxcqwrkejV4SpkjfW+5SKCxKiGeUk4Wr2
wa72nM8msFHWaHuuSjIKeZPCYuo93E9zvByzph7u1iCYLvLUTD6D1h+BYFj9RWUN72I2JNKS2e0y
DUFgosb6Sqb+L2711vXQzp+rho3I/Q3iQWZc+63Y1Nn6MwC4ZignwuD6PLfOiUP8pSuyaFj0Rela
+zQxq4RprfGBGXzaxbPzWRTNvnc5Sp+7vnSxELufHAayzGPqNIOtmKdxxGmDIbJF8iLx5u2AeQ7D
zGWGDw9cSMSiRWsnGMJtoFqJhcIYTxb9exsbcEpZ1st+Sd39bOC9hkh8m3fN2VE+9+XWVaVNy6n7
k3sjl9bON+9Yfu0bnEAQQdD43mh5o9Go9kf1gWEHfEQ28xVwuO6Z42DjJum1L3Qrb8pSiZMz+8tX
Fwwk1WhtbTl6zuspb6gR7JL8xrSa9MvtJpyc5wJPEDkkZ3q8sF5akJLN9Xci/5577kWugX5YTKqh
NxmYaG3uE4elkLf0nEN99Nd7mdR3uTD3hprE7Vqm09Ebi5S+nIGwDpkx+zYY6xZta/nAETbvAMu+
lZCWrpBiSd0XnFlGu8/vhaC6UTRtdsK9ORLtkTsna6Ztda4igui1nAZuqRbMr/tB9b11KQQjOooP
KquNqsVICZYzoNW7oeTmRNPQRExRBAUgoWzkm42KxuW9y/xzpMDXwIO37hqX5j5PGeSFwPbseyxw
MB8ypwSvxN2hyiPc6SatK1h8oEOSQlHbXshFRYR5Uz/ElRKLKKaolpBPZjFh0QYW903FWVhdGm5a
DgdNs9UQJnaOsx/RPG2ejTzrUvq7Ksn4My+lV2DSr/Eaj7Iar6kbGpYDF8tuOcVtUkw7OXtcQVXV
dfJHaROtPeZeYdSwEdI14HMzqPOY/At6K2HE+Bh94u+KF9x1W4pGQQAzPfbIEzrQyze1107+Fm8W
BM+4NGT/WRPC5+YCb5ZSqnrBbVy1gYcVFpdiNfHGBEMW33aqk0sEP5G7Nq1eSX2I7Ymjvj0aMIL9
bOYQS8BVgfPJC35YlLptyExsNf8MAiUmb8ggeRVSzJ55VpU/+kwNv6a4rV2KBiaC7eQHrfwW8leZ
7VbtVnJbDmOvrhNCv8vJJXPOGHy2hy0oRgJdJMlWJ6JwhdMxhnBhHf22GwgzdoZOdwEuPFKhJQww
8B3W+l7BIQoxvyf3QYX5/DyMyFlTcs6t5cg32iRCky+dO7CZ1CdSdXaBgGPjw0tptSRy+z7ByacB
O5nbK01BQrVJsE4dy9lf36UHmSLpIVf5wJoH8UAR+guErTnqq3Z5ld7U7tY8Ke6czGLZSxXSUlUN
P1wBuHEce/mq7Jb7jjO465tlrp+Tr+OoM3X1REtf1ARVZPQEtUAnDCefr9uRVIUQyD16nsYS6heZ
t32ALvdrGuHFhL6iOmJTwIREoidsbQCJ1Xsm6wMNbSLvzoSuqpjAGyXM0unMBHPfDj8y2pud+7ho
IScUgkDTDFv71AM+4CbOkXa+94qUiqTCbVU0mkWe/CgwKH9i77M8Wm7KPolk56YPHa3S45uCgdtd
rNYs1l0ypj3QTRR8K82XQz7NP7HZx6gVPMuMX5SPVq+adWfFfRZ2cz/eDgPWY9eoGL0RrbmSDrIU
HVbHOPGzO/KDekfVafVorKa4NIJifqUHqrlrDJM5+bgEwUO/0qi70F5b3CLj1D8rEt8HDAPTMYaL
a2wmaGrvfpyezQFBtxH2ENzMQwnmheia/KlsqZ+LNM8AlVUEhDado+n4xqUuv2Sxtpc4NacvJvY4
LgE9ieKhN1pqjoRxHos4fpJsBa2oxVcqfa6OmZGYhFZG/56rj/9MuQfXujG1xS4gAVxcWhVigFEt
ydaogu6hVoSFCG/RNWULWX+NwpheptbWTQRPKmDwX4LttkCe/0/2zmxHbiRd0q8yL8AC9+U2GIw1
I5fIXTdEZqXk3Dcn6SSffj7qFPpUqRp1pm8GGGD6roCWQhEkne72m32GY2YCqUZXiHUR9OFirwSw
8qRlVlveVM3k54fcqG0XOqA2ZqBhEv8NCozlh5kMpn3WxLVJUi23v2qtGx/c3PSfdBoab2D7csDs
+th7LjrD+bYMaxHtzKq68cpZvLmjpj+YYAHpTJ6LieIli0AHGdRDTC9hZAjHOCfC7I+jTcspHBkG
pg6agsYaQXMnmk1XArQgu2xSGkqUm1pa7ZZ4UblsYNy1A7TCYukupZYSNVhEWXFUIksybzqdsnGO
TnMRJUVfnyTVXTRIWZZ0HrqMyH8pBTcdfAdrjDD2xtbWpOMyOwWc1Jejj2k8PtIBpHUHPGe8/8gw
udXD6JjafOe4cWI+aHRZkq6vMw75Glo9vmvLg1bXJHz1rSIjBuhWywGvpT5nzT0DT0fcpJXmzuEI
gPLBMONUnOCOOfqNyrIFGBFnPz/kZHINALXSDJlp83DltOo0LzFj2qlEMssKMC1mYOlRlfPIB0kS
hIrR8SX3DH+PHhk8xVMJk4Kdi0BQZd1nIpMSLFysQ+D4SEhmSs4wA4pkLUV58D3p79HwEA/nsS62
WiaXG4msRbGttPC5EjprGYC0jeKGGLvfIR2gjkCPZftg6beg6tItQdCrzgMfdjKNo97VIUwXzfiG
r7g9A5cXzxmg+TCnAU6HOOyKJ9sRiYjY3VRc4Xo6LqR/mpuursEsEDPOggPkMZ/L2vRUDePIt/t7
0yz0Ow7l1qXQEuvZVv3U7osUL1FYuznLctm7QPybDNMobETrmcBkymWmKgodeB6Gx8nKVHM0Zj8/
JeYivnjNsVjGKC8IKSqxxKFI9TgyOH98NEYZUESgF/dEPu9bz5j29FxASggampyrxbmpu8any805
t4tjMczpn4Sb5sYGAz44cGf54IWRPQrPhLs3NOMeUqjREmHS8iPH8xicqe21X0Lge6trJ4bwqKsD
PZ+8oJopIZRgp12G6gxle9dang5PzeJFsFcT2/aLk/TBXlJ5HxBrnZa73JZdSK6h/r2R8+89s3AG
aUZaBiF2bgd6j1UE8RbaIIrLnw5n/8aV8VdPxt9PPKsN8U+eDAuPsV7X/XS06wJatuXI7lTRDfb0
n3+Mb1uBa+OGwn3ySwJ8XMqqpltVHb2pw0GZCQHybm6JFf7z56xlPH89wK3Xl9YM+Eeew3nur1/H
CDSz9wOHQu6hGj6y9Q0P+IETgSDHSRhTy9PvxUi9ywZ1C937nz99pQH/7eOZHnoUZXicbn/9mqkS
5DU7qPc2w+1dsm4ETB+mq71uDkYliwe/tdpdXtsELOd6otx2emPI9rSwu7B/bjPoKivWjUeFKrlf
pvvJq+uja9FleNKRSX+W15PL0VRa3Ena0nNkPRQbYlaE1J3gfzCy/f0LcRLG/gqweIUfO7+UHy0W
noSiHprjQs9dRgaUfAO+iFTp0eCSe1+Xcd86/vPP+PcPtXRXt8kTszN1Pf2Xe7KLY2GPeUAPdyqW
G8uz2Ev373onTqk3t/iy/mXe+jcPwHqk/+sdw4cZOn0pBn8T1te/3jEQCOELk7Y/KqCUEcn6rynX
dqU+9f/Dt/r7k4a7mW0IjkBEDiatf/0gs5RGU7dpRcVTafZ3ttHEvDgrwxkO//yNjH/z++Es4xTJ
NtHUHe+XiyZyuladxSmOPbUu52RgS0EHXLKGZwMLrq9J0msfLJiIeOUpeZcrwjb3zKJDXkTJF9hz
dn+NQVag74YYhODP/WH3c6/4z//Uv/0mBg06AT457i4Hy+Ov/1L633tCqOmR4YbuHRt/6O+neuKw
9B9/DkY35ycmezWF//LbQ4uRLa7t5FjFHAa2nWdWFEvHRXH6+Tn/10z+/6+aJk2sd/+IMLn7SmXy
F8fkH3/kjxSA95uNkcq22dv7VgCA/F+6oPEbeqCONVJf24dwYvy3Lmhii/yvS8piwZmI5+APXdDw
qE7CKMmfoX53ZaL8J7qg55Jq+NMigeOQUNcqPOqWb+GJ+NW5mI5uS8tsv+yaoqYmoCZyWW06ymQv
idfRnOUhhw2NEUcw5pIyIqEZ39DvVexi0K9nprRGhLGvxF1mpQGhytUUbeLZIfoeK6/bm0TTLpOR
Ut4V8DKOMJj5BgUcipcxyOC3hbrDLQ3XxZGIHmQfdIbDQI1kNMohObStqO5SAlA9m91+DLaOZWNM
KgHhAheYbYgEJuyO6mj6hX1OpzSG3YenK4pRmS4q6/IWPYdCr00ZTNr3WA4dDcrYBz9BTjA81JV/
qZ0sPdGVS29EmS84lB3LfWVOB46ZLglG5quHka6htBvx2Vkkf0egHi9ZX7yrRU8vaZc+0b4KHFeU
4xEmXPeBjyo52yaVCnHXr2YCu7joaWYCVNHoKvFWf9pcJceRNlNO+voRP3+xE3W1RAE/HYcQmue1
Fo4Jkp+6dmziKOnwLz4QsjPcwDRkAPXFyXNlsgGeJVGeHSsDpJLjjfO3aandG1JqgEsXnQFimLIP
RSPyLeuUr8JgKHWLuK0ccDXAy3b8s9YLupb40cAzF4WxWrYntdJbEs9/NsSi37uznK40WRcB3M3U
JFgAAeEutybGkT4zsI/aS1R7VFgGz64QwAH0WlHa6Zcruq71GeOUHbkL2p0NigBR8Siu0DwbaZgo
ZHAvRxyLIb2jtr+rAEOdsIRmYdzQwkG/hd+yqg1lmu4wUnIuUnl2S7mGeZtSSPJNGzlIxVJVewij
VLjTkFVcKQr3nxs028jp/ekGLWu86w3e+ZuOxg2SppPPvNpU3fjoG3WCmYN97CsDJ/elRmxWYaM6
4wGJnrikaUPQJ/pYHwbHKw5lYKsmVAMaTI/k9EkfSvYgwThGlpaINsrSmVCv4iuNO1DQNdi/gnw1
7qT0yirtH8hb6gfqYaddCY6gCON8rA9t49UXbDw9FPpHQpNDyPBr52nJS60IftX5PN4OPb+xIb3s
ffJAZDo1qVbHpu7HB3eKqeMWu4ixzYdpechBq12yVuMn07o6pBuwxY2I825fOBg4dwOC2F51HfHm
GYQR8ldnduC96LPBCgI1c2vTj/Od2N87DBWcCK1VXRRIhaOggSsDVem1h0GWNr07U32qwPYDtTCN
+C6TOIQ31erwxw8CuNlURuoB20i9hyot5IuRd0kfTjA7LzIwujf8PxW4w66hCx7ZwD07Da91Rscm
VdBVy/klgkfiz98oVkitR+m3aiudqv4iuwjRLyRz6DZECxBQuo3RMih81UQyTcckYybCnnwE4lBb
dq7jN47j4KaqaVLZOjM41N6rc84qg0cyOdX460O8hfMzLToG5/6+fGW6bpcnssQ0xel5ngGzdAZw
lQPLNGhdS88jHIrFK5hEtR+CTqP4yXZfhjZQNwblcbea0iu0CPZPiJ2uB7W/mPQvz8u8vQQaeulI
4+xGHK27EdESA/i8WHe1Mc2fFfj9d5ptIUF1vXOYeIpYYRux87O+eVKpSeMCkU4G7iHqVv0lxr5+
WGw3/p7R73zIYfp8dWoCF27q/MVgZA0RFRZ2KeKQHIie6Ba3fYqFpC/CPqn96TrLFry4J+Xk7mDB
LvZRZJax7XFMqSjNIG2goZJ42ZaDKotLBdTUPJbMTsvIMVNF910uFrrfbLPcUE3Tg3iH3pVspW93
7t6kr2IMfRnkl8mpNV4vwto1uE1xQQ8GDcPIOvs5qJdQD9j0Ayi8K2RZ3ECWEKFmTxNiky0wZPLi
2ZRKNqfBzWCpDIGr9vM0lReBTvjspK246evATTaLbTbfho6vE3Z4iFEA1ER3ujcwYREatIRd65EJ
Dsui8VbsRKXKME7L+XcdX+S8GfM5+ExazVgtqbhe0IgTPCRzq1cBURfgK5FezkAa8GzhxcgB6l2l
52EoL4sMdk7sUr+ADWMQQJpY4NM71LXurMqEJvtsaWza5E1bXQq7VgfLwfpgoIWd67kgzxOTBdpo
2TSFUCvIB6ukv3rT0CMhdvpH2y9XG6PoWm0VD4/6lNsE+LSVVo89E3pLWY34qMFKux8d1sNimzeT
+9oNzhCEttvg8MiBi0JYbt3FBepORTprdkYx86zm74JEx7Nj9OqxDwT5iXqc+0fX0oMztb/YajTT
vhqytV+RIUsUico+kb/Ax5N1q9I0X5agsAm7E8bf+A78q2A5mT0PLFUOBU0MRY0+y+4ce5u5SNe5
TZNSamHJpUTZAhU572SntGpvF7b1g4HqTGIbO+78YAk9eXYSa1z/dt0/50bpin1q1dZzNkGY3nHu
6hv4rpBUI8S6/g7nJt5ubTSD16YIyoMB1LeGOqO31sHRjDEOYy3GEegm7Nc2Jb1uzlbmkgvNeSMr
7+QEciPyR1m8g7XW77oM8uGGiRBjv26cK/YQAf523SuG9xb77d1gLhp295iObYIb8lEutvaxRhRh
yg7SSyMAaSw0epnYkIvNlrZifHp3fOv2FCeaLg9uoysSIckgv8siAa+LvVrQneRTlXeo5x5prxss
LwmRy1MZJnrCgu0uhibDjOg2uSkddByKNsYdJM3mi0Owk4deNSI8JhCyQ1u1v/vIYweQTN7vAy5K
XKRTDNqTjhxnNYSVS8S5DqwZDQni3YkFyQzaMF61FAl7g9SYXUajfvZV65igOoljR8R/nDNGmCzK
yjEbtklZfTEUx7aBw/htAZp27NqVnT8O7nA75Q2ydwKqcRNjJmZNgXG6KcBrz7sK7Mo9dMaFRz7u
6YwsrCzpNhlwuvd0yDuSo3pgGNTpmeptTkoTek4O8ynSfFucNZsJDmma5DtTS4tHelQFQJahXmCb
LutoYBJlu0Xqb8DXmAMNl6201+kY4aJtbGZrbcAQv8AjrjatBSmsc3sTEECBl6mk3muZkz0b0kOO
M4zJeJZVOwRxHLL6Qp9QPqHvWr6qgWcAetWxUZOrL3P5qtIgZ3QKYIL3PutJzl15Er4VH3pRNDc1
xRZPWHDoJ4FdtbUMe3pnulwUoYRV9SmIhqfhkiTW71MJPyceozivl3cozN9Hyi82GoYzmtrMkenE
WlezsWd8qQEImHofQxDX8e4ly36mo28Nj3b6GzH4SX9duzRINEyWcw/12l9FEWAlVlcU7QFphlme
CgYTy3JQ5Z+NcCYkcBaIrbJrZmiQzLURKH/QHDpeF2HPO+A4pUVzrYNUvcQooisb11Sghdllakl1
xvCP247kaTIfNFn6E+JlhROrMgP15OfFipdr+UdbXl5+4o7o3sw0t50tHnHtO7mekl2nidMeI2f3
wAqkm0jrVgM+Pq/lvd6o4MbWmRJviWYH9wzvukfdAGW0h2kG14m6+vabizebgEqTVcaWDRozL39q
fqcRhqcDAnMbnHnw2BimVVJ/BO4gnxxjtHD1WuZ9ORnymQwaUQurobJ0YxEK4D0rZiccIYzviW5N
B+4elexKuuy/bCAw9KIvaXDGeFXiliLsgl7YKfKb+mxV4zaT4GFN3UwORVFCytakJ95Mz3QJqyjk
WGwUXMC+tgjpsGUzPgJfDifDVeKisNgWG4yNbMHGXrAfKBecsYVuxTge4Z6SVpnlzRy74NXacYZN
v4C/DvZJZZffWSTwHirlXQpfzxhQAiSM+M30Ohz9FIZWbyRUs6EgI9XG9Yt0s/HMw2qHaYppfGws
42QQadn4Vm5DjxpUxKpKjsbTTGOLGhPbWCEzC4z2MqO6iyL4EqTUuOgUW35Og5PddI0TEGtNffze
o+yMT2tICWnriQhTLYcHPHNupAmhiWpzOkMhIfSzADGnAK+4s7Kluq89NzPDUYMVQe0eCwsm46Pq
0J8dFsmPoCAFXPuD840+y+VzKtqyIJi6uowDII3Aj6rtMhXicSiN/M1kzP6I6sn5z+MdcjsSzVJ7
06jglZCKpbGLBwuIEaVZlBWlHVljHotoKuGCwO07KJ9NQVU90hZBvockzfxAG7KPK6Bh3jR4gXee
BZDvELRV8SITKzlMC5uLbQepaSUAy+SLtAKbRRh6Uet45X6dAhFXLqsE2EQw3LsQ9o4FF+ApwL7w
yHrR3giLr8HOyKA+Kl+hJIoX7gyl7clUVHNyQWOOX+9exmo7BbZ4bOvl+Z8Vqb+Wj6Mo4HDCEelB
UsZy5K6yxp91d9/ih6VLeNnnnZE9NAp+r524xnapDO+Ef5uGompKtv/8oauc9t9a5/qhnk6vm+dj
mCJHav2CMzCxBi6xl097lYjihl1Gf4+NvN5aepY8NUs37DiSudBKVPv9nz/5r5Lkf30ysokBRMGG
Amv/oss3jqM8QtcLnswGxxPZUQKTtaudu9ki5s10o/r6/1Lc/4k/D2OdzXX/lwT+N4Pec99/dP/r
vvv4+i6TPxv1/viTfyhy9m+c3Uxd911uTkAb3KB/ZJi935CJ0ZYpRPnZSo5i/odTz9J/g7/gmkx6
/qBv/EuRM63fUPVWgZmr/7Oy/D9S5H65kTHoOQzYdNcFJ8CN/Ito31Nm4rJFH/cN2dRH3P3zHWFK
NhZWkHafDJzzs9KDtgn/9EP9m1mB4dp/HRdgCoSxTJ4GtRqBEVnwl0/GNMGw0iHm59pDvEs7y2k+
SlPxxklHwy7R1Yyc8FSnhreiyQAOU4/W5KGP+4L+llzp7l4vGsNkp2IV7zFIox7qLnAs25hFH/od
sCVdUvQR5iVC3EGxmDIaHIiNbgzVk3poSD1/WqrFUjJ31d7keX8vYUd+zLUZvJR6ViYR3ODxgSE3
AI+8d/FsJQVeAr+JgeqPhjmsbvp051CnuvXL8myndbpXYjcrilPkUn0iiOBmZAleKNLZyrimBagz
bjhqZA+gjb3XYHHbvUVj401XNkYVJo7tUvQm3PhZwyRGolBoQN2RB2mRnb97NXsK4Jw7MCPmsTen
jMNPcu8ng7cbJzwBpB5xahnVS5qWEDUbJruElR9HMHZwb02i15RXOBh9eWXXA8lKy76rGrX1JyCL
xIvFViA0haprnV3VuEVI+qnaUDC9Gk6YB2votSKwz7pDsDMpMFpa3b6iiwR2NJY0TPDsXzmrErAN
8S8W/J9qHAmoZdRADu2NPjT9kaKlFe0hcaKxn4M2ZQ+IKjp2BWIjYa9SL8pRD7foFdQqkQ8j0i4N
ojGWc7R10mbsYtvI6IbhRJaEgiloGOGCFzocnMo85HFGYW8jkFHKHBC2U2AUWuZ0v6gOLj+wNEBh
hiioadHsr3U+Q15kdVxornZLCqQ6GsyXrvNSyHxbcSDcCjmktMCTjKMHma5B4sd+UoqtzfobbHMf
r3qkLFt+zJ5LT1+zgKEK2fl672Kw/Qt8QOMTa3X51Xtz5sF4bPAlAewYrqLOb3DH4jmgwiC9zcyA
qNHcnoVuaydebM0pWcqaRCL9QJQAdOykdHo3lqhzVIqyGiSauyZeXTfEMlXfl2iRq4LprETpOock
WZrOrU3PmB5OhsXLSpbGfkK8Lfew7bHLOVrXkqCx9W1L9tCMOKESeCPT51/0jljaRrbz+GByBN3Z
IpnFSWBBKjat3nrvsvfZGMUAfW8pbCGA2AI0vs7K148gOOlVdFuqDxYeqGNuKPKkie6Lg81R/anu
MM2srUTpzI+5orutGQAoG7eGDVZZjy84RElz+YEH3dSdzFVAwaQY4RSj9mBWvfG9bpt271ql8ZJb
STvs+9Kwf1QuSsaOTTNKsSVbS4c2Njva1Xd7tQPKiMuT9t8cXpjZWWEFDZBOxIL39mDCpt6kLe/S
Rjd2Df+zUNlT7zrQCa3495VyVyzaHTGYL1fkn7JMbgw4Zo2u2eib5EDL0SwOZA2sO9fOUkxI0CF7
ClU5HOU3Qc/2nyMz4Em9kdty0fpD1rS3lbvI+zbTv5IcBFhX402L+0IcdOTrS+V5+c4UfCNvLpud
KL30Pom1Ho+s9GlOmsyop5f8c3E7gjagxW6pXxfptpxjdRPLfPpRlkyBN3Dx0nOQ+GbCDexzQl4q
nC6bbnaMTy9T6akwh+IceN7d5NGFs4GA11sEwyvpfm/r2YB94zEBoZ9OK3kutbe+FFEF0RaZ2XCe
2fxhk67G4QHQA8mPJI39LTiw8URb8/fGalk/ZG3bKzkv3gYAFi4jlYOOnaN6MCsRZNdEegSmUN5r
ukF3tWMNSBZo+lciN7n1NGpLRxP2nPfHXEBy6LVyuJVqkHmUwH+lHLaf7/yOfqm5r5FKM7o6uLPi
TmO1EJ/+mJGzqhz/YPnwx6Ep6iGbWX6NyTSf/QJiMegzyOKT4m+YuIHpg70FySNDJWLczib+z9I5
waLzLo3pJkiBzg/eTuktcIdmX3Q0z5ImXxx5BL0zhU0M5zliUAPhL5XCwJ44t90X6T6468iG+o3n
IrjCFsx6GSUdwhvC1QhDNBmv6SzyV7b5eVR4Fo0YiTFgjLY4Bgc8MHunHf3x0DRuZkfjOPq3bZ+X
Lx7XKRwno8N9zC5wGF37Xk5t/DkzYrEfZVuyzK4ejp5Uq6VPm7RzO0pt2B3QmEOUFI5Gt1xEioyU
DfpnQy8g+3/2moVpjGcvDbZTV71pUJyx6E+SsE1Odx+m7hFQ2T4tBwm7qvF92Mpt2j+p3KTUMTYy
G4aHB2h+djuEm1G1lAhWDzHxwU0CQnVLYFu7L3o7vp00gHK5pH/dtzHsdilE9JXx3QrQt+JYQgWM
FNLuOQPiqjndiDSbCr5CcglG/av1pt9n1vejksT3fd2cj/h/mW2B4DtolGNtUrHSC8zipkEVj5ah
c/b+KKowFjTML4ngIieTfc4c8SKsQERtr7gBYsXyDGR0o3pbonRqS3KlF3yO6izd4byK0tI1djjn
zZuEY+u20HqDU5mXfk2CWVo8jP2lkEinCODYi6eJ45xsQSDIuNs3q2OOK6Qi9oJWKA2IBeO0PMcF
qgrn7CYqXX7Yoq3iS+2PCCuyeVZOwjmsrrpDj0ln3WpAB3VpxqtBx+xZgfwzOTgqF/LOjfTBzLcO
dNADh2IOzBnjL23m8S1N+47q5EhX1OqGZjdO9l7DzRvlkydoRsop4rM6ypdkajtntgsSKtR6URMs
AjtozvLeTZsgyoxeAnOuYvXOwam4ev2in/WgyH9gN8XCzivnaIyBes0awDCDOdXjTjl6TZkBtqmt
8PT4h54sw8F1ZhyXfWGSt8j0eE/GzEkJFxjJvdDAqIU5Pu2TK9aJgplZH0xz2hsyVtNdGdD8tVnb
1FJ+b9M9iaBEdhvHrDwhuKWPIjCcM7Z54wnKbfy9kPEyrsHGco/Yn+YsTEZ8zDhfnwQ/tR4uU4Zz
3NLSE4+KhCohYJDtax1rHuqP8WLZqOXw+MjDlfMUYF8vxNdArxTRDI6PNRehoiHG97Un3J7ZIU3k
fEYwXvaVPo9vttOX56FFV4Gk6Sa3c1XJHfOnAPyXrucQvhJrecqzef4+ZG7JY+rn+bWjEuIaJDUq
Yp5SbMnWdggVW/tdRv/hCxQf/TbGLXVKYkPfz6sRlJefp0i6dS65axtiTVnC0nAmbXoaVWkfRsoe
H7QAq1VvuvG9BXvsAkHXOKP5em9kBHI6tdv6zbLjo6yxMLu9uKVSz70xfYqDo1ZzRsrMcrtk557o
ktSgblAbu6QoYhYmVa/r9rVGQ9JGxYg7XsvJYjPICXskHU/cTDmFQLc4T5N9UCA7mThDcaXP/dWl
BvnoNfwLKr8yni13HDFpdb31BE6WZq1FA+53zyuC9xsy2jizgBnutpSIlkUhJYTdKti5VrXs8NO1
NJNTEO4VwUeWNvi9TSNnnanmvQmyb9dSDfjFpoWeIFqtGHkjpAi843O1Lx3VHZt2lO88tMtVYxAc
EnOukBz4EF/TzSjz/DxyylqA/7fEfQ004VZJ6pw+asuc2od5StviUUM787Z9s2QxJxEOeGHM7F1t
GHeBw7DNEZ6oBxYAN5g/ansHRela2ko8TY2R/ljQpeg9dkF9L8oW+6HT5QO1zcb7UAf2EzZ3ROm5
M4O3td90YSycVo+i1JKvSbnZScNL9dHaJvWpXpuSL1eNO111NqjfOwsrv1A1TFty5e117gzWioXC
eDZs0mBVc/pW7NspZ8nu4Lm8ulzuj5wm4GfH1d3uyS9tt7+NISJZwHaUSc0aKcZIlMi6MAUyCgkd
MQ9U5ApA+Awz5/TYGNyE20Focca+XXZRX84uwnvO00vjrG9sa96H59rIAhdOdtsAAPeSZKs0Ogig
uXgGz7tHvSid5eLY1oP1XiwqIe0TNC/kqYYPkyNR2NpNe+0c+wFn91ZMhdw20vfP/Uz4SXAfopm4
+gfTM/VNVEF2dFMnfaEYUXvDZub4kRvM9rtL4eJp7BVYx8Cv70yiRw/C9onlG2KKD3ZWRO0MSpAd
dUKozFaHVg7LYeAn/KCxd2Q8qLn3dtJ0u1JDkgLXCnsqm09gBYztMA7ZtaJ78xL01kDpXtBT4UhL
GOZqv9VhihTAt+tuoTQbfuBFJP63QZApGMvpYWh0XLRT2xF+wo9G3bQ7Bj8Gv6GeEQvDDiMpHhLw
gC+dHwyvKuPJKbSqf80KQS3v5FoXCIH1idrM8gFD5Q9hJzA8mj64tmxn74vV7D+lafPdtuyFN6gy
DxWFKU/LGPSnReh6ZCy9eskNCBVSy5NbGu6y+3rpLIqNafWMSqPpb6bYVtuOypIjbWjJw4gAsLWa
tG6YZqjmHk22+Gxn035ghtOD0QItBNyouxsdlR9rr30d9CmtV4zmzPaAYVg01bQPdIryNiJYy0dC
B93GmAY9zAsK9OY+M9/GpDYv44iKQQlk8JZ6bfwtTlnzgavLI6/V8ToLmPYpe7HbqhcMWmTcXwaI
oY89u7x8Q37H3i10h5ywPDaXmNHK8yhZ772mHr6lkCyggvXpx+wy8ALjwJHaYBB68T0Oa5tx5ulK
eatsyXbAg6LonRaktQ1t5owFGWq3NEl2oRg3fingPJ5wImQvFM9yQE3ckpMgsrZPXhkcj2Xce9RZ
n2JvVFssKMUTTbHmJSFb9IPuUkwZ8OBNKjmy/lYveefhs4itLx8X40wqu+zOupBA3WggFweNG82I
rAIkzqbvcwqF2rwX21qzm9d+aloaBYPJeMyduXnyOuw2JDPQVryf5QS0YVdvUhbxhwL4QeGvYH05
S1psSLdZ4mX5WW3A8H5hau6WNslE+Csfolecr+iqsj5Ht8L2YpYLRkmvhtthNIQPdO+1dhFpnLKv
bwQ7NYhArB38gzLwDBUlHuno2VcSAkZkuB0ND84o7zqDqmtKRfuPoRxIE64tDhLoTyTrtDhQpkjH
w9r2IH0WjBrf0Vvn6fTY56VGVCd3wqzU443hhT1LfB0yM6wg+7TudAviPXEOmruAGcA9Nq9lncYL
Zg7yXw1l9D9GHfcQdQRzNGczLL14UYR36mqeX0ku6hgjqaFg/grxiS8v2BP8bLQwE2mXO3YBpNPB
6r2TQTWevKziBkqNhX+DRvxhhpYxIQSJ6sUu2x8yT+nLaL25+liYRvyo2YMeE0djGYq1hcFnW28d
emX3Lr0buUDYMqChDd5M6wq4kJ5Xc6h6sFJqLe5gM/bCIlOf5k4+6rEy91TlaWcAdT5Xk5gj0Htn
C1jlJh8akpSDf+1Tad/FVlze6MI2tY31s0FkivOj01fVmVGJe0ynmdtBQ/Q7LWU31NsisdbXVIlR
u2+3gVdseFVJnjRtOU/D7F9SMSdbRI9ubwSx/plw+3w2xmoNyCk65c8X7dlNdOcycoLauTClrtns
3c9LYux5N6trHmsVxRSGBaZFc9S+0AJo+YhSd46p362a0LvuxvRjlY0y8D9rVXbHzm4diLFe4TqE
hBQq6QCjCBJbhEPGwROm/GKjvy391sI29KIXXuFuAtW5D2wNCptBeR7fmVnKeEx58tAzcSCUYqVb
S+oUnMczz2WBObAvwPfs+qXPK156dXe2O7TE0B5MYL4CfIHsGvmewZ254LnI5QYmCAu4PToPVjq0
F1C/VDCB/b2nJte66I3GoDImR3UeaIg7gC3NTmY6yzPtUc05tVP/6hpFs6sUg9mtWfGcznLs7xDX
JJxKS7Kl8Wl/jNpRmxVulSaLhD1DhWmXLTU3FoxAU//SFpEfx3iJcWDQEux6hKN5HS2wARY/34ls
EDvS2ctdIFHfEtOrgQtlpX+Z8r55WLRJ59ajsXefaFZ1cGu1fNAx6p0ap8meXadlFZxqCo8IgAEX
QbzC2QSd7Y4zgfmycrjqra6P7Lk8+2BJXmY9ORsBIYPjHjniztSe/X5Nqs6MvI25FFxNvIVRNhXT
gxebRdjOvnbsC7c5aTVTqFlj/qqnbEA0UadbSRqHxVgeOK7v8XO0d7AD+12X49uC98CLlP90cH1T
ogCsRO2sgtfptkoy6mxnuOaRbSU84zV4hJDe1ng/5G1n8OIxx1ujCOQLlkzjBcQ1GYRhzhJsRN2K
x3KzNPIKWjs2tkqbJ0yCpb5LHQkyZ/Hwee60Ai3vPCaJiSTb1Cb3LeIHFTm50F6xkciTT3cq2jOb
6DxMkmy8Yg3o0jPTyPQx8RaQX0WgIfYujuuobdamw4/MK5f9Mij3W24u7tWfgtrYeYRTsA5mLo0Y
jlWzbmUtkAzsmK4JNTLwrSsmKrbIKlg5ebkfNP+bvTPZkRxLs/O7aM8Cp8sBkLSweXYznz02hIe7
B2fykpfz0+tjVnV3RHQqU70QoIUShazIREbY4GZ3+M8533lpbSv5TqBtnJa+1+v2fpi574eJUf9j
bE/Fa2WhWmpJUd0NMAdhFgHsugHSp7LEHE3vKnsGcVY3e0/S5k0YSK6BB5AbkID/TSutCN11wK1K
wOCgPDN/ThTWMxjRA9EdJ4KbWRiks8Zmz7swrZUuh4sTkzcmV+uXD03TDSsoXdMj40tx8CrTvVoj
lV2UYnvyFFKLoRZNZXmfTA0gHobI/wCBaqQDDV6HvdLcHj8w/YfTsg7L4ZVUIhsEI9Tx3OS2u26j
GwXDZP8pcPYf0yYoTiG2WTt16pRWXXc44+UYh51im8mhR0XNd4+q23IZ0RetEOrI2S2YOosb6p0F
9bIfMx/FepwhexaT2lVXkmteWcA0saWO5jWz/eZmjeb0wuC8v2lOW4wL3wAfQ/XYtlHSerLgIt4h
gdrr2MP8tyljc1wpkuR3CgWfe3nvQRmRafQWD052xNzSXWvNBEZI50BkHyuPdmd+BLPaHxFeuIwx
p6xl42rd6zjNvT8Oh+sNcX7gDVE83A1+TY7btVMChilvxK3Ew6ktQ2mGn4GB43QZ24bxEAYMeuGL
6PlDErsgorWAC7TvQHIAxwBv0o+4SA25JS51aah7DGv6vdlbxd2oiYI0LQTnt4kargvIzIq7fOU5
Zx3DGWOcQiXFLm4q48mJfJMoPTauZV5BR1iolvkndWe5e4AHGXzEaT69Ew9mVtZHHNhgslRz084E
edMZLa5xE1imFz5tXbcsspidgKnncIdpOfjotWZe4PgS4cXIXlwCPnvLaKazbhbuIYoCfRtWuTqy
trMBKV//VDjGo5VfsvNBR9WeHC2Wt8Gp3cNAX+KJvF63h/bW/lCtHQM991k78WRAZagg0305CT6c
OmtX3CGyZNk4TbEr7Mk9CNbtVeeW2YNNh8pBM6mfm0D4fhY4ZeVyoupjKzO92CW2OxSr2W/0bkhC
70BU3fKeKxLTb1mopxRr683jdPaBAcB9wLfB32rWIQXx6TWcqaG1CkbkjthVGk3VOnRB3sOHolfN
BztQTkmg2/uP2mRYuIzz2ozXpYqube6q+7JMBeoBawvJvda2j77eNNfccrOjNPhN+DnoPp4c9+oM
RHYWkN/abxNjtXlD7syz18IuD1xuJUR6+uwe2iIe2MhPTPq6g3K6UT3BT4TDDSGc2LkhbhX7TDfg
5pqAn8x0wBDTYdit7RI7Xk1h8RRhDCfA7hz4beEd327t+0CH0ZJ/fI2CLl0bcUllBgi2S+tO03Uc
8s/KwPyTtuGywqe6NBN/JP825ng0rH5bl24Jh95/GIHX0dKdYUhzGF3uG6XP1OB+iNeJqTuPFvie
Bcksvjzj3F+UzZDcWlP9puP6ikLTMuHQ4jzYNxzbv7lR6VwDXcf+aVtDfW9zoOcmkAmtW3h4+Bbd
QHot7nBVL8AWKBo8hvqEuvpBVNhMF7P9/I40sXvundK+DYwzvhX0MgDIp52q4bqLfBO1fJp6fFus
qsG1jAt8wjozBTxu5g94atRrKr0C0WKUSoMSMfEmrlLRj/lScEQ4tppbvFjQ7zl0+hxZojktYJg9
VSioLRRfGvIZPbXZ57y/66iiRmCIam+lY6lYe6PulVvdEja7aYhLNm6a/JtjBeqMdtiuM2f0fnTQ
QMmOzsQ0tvs33Y0AeY0tUf0lzS/+oQ0EB1k3QbeyppYbjGlE/VGZilFOXlEuiprDuFeKdykwimJ5
bLR9oOGtsZmRxBQPptO5GQSLnO9WcoC0Ej2IAs2HFoz+MXYHYt79OHyPObY+AkRoYQmkw7z+g6c6
OX5CFf1E3v5blc5+NFYFqmJY87jh5dzxFl3CYty1nosOkzYWG03aRGdiv/r3zBJevu5lAIm5Htm4
xsJ39gFEsSMvSpv4qNfDMsK1sx9FE7JzFSEmRiVAu4ACLIgtBtn4UkF3RLeJ/I1pSvb8osIxSk8X
xKoyMLVg1bjxdAZExerd9GZ6IGSpDiFRY4tO69H9oPUuZpano/hhHyzZrcxYBtrC8EdxkSCNgRg2
VtrwMWcXW9DtS9DacVqrOvnDwMOkqR3uAlWWmJkd23jKuhodxSxSqk7doVw0gabtGbLnLkkGNf+L
ni/dImhj8wnN1sroGTNzF9uwEJ9VFxcXiYJ6Y/Pi7JKxXS4Cwda+b3T8USvXnIZX5s3muk4T7TGc
b1c5cJANTuehWdrog+sevzyusUw/g+kwP1O7nDexzCeaTgBgaRstyAaBi2DpMxw+TrluHAaAApdR
R/G2jHlInkclbuvaXHuQkvhmdeZaS/qbrTEZjVTP7Vq9AjCpD2NQZHTDFRqdT4Za9WPVfRlSJOeW
48TFnFdnTFi0CALgPGmdNPGE8iuKhBrwDq3SX3WctBcVRukZD7m5LhuYA9A3OhUvLdG8Rq2cbnXX
FacyhZSjiP2vcbbm+8xw9Q9y5dR+Sa8+5W0Z3QVTldRLGZNCp+x2+qC3KNphqXb31JDSvNWGjInL
NhSb/+8N+j/xBpm4zf4ypndti+T9+8+moH/9ln8VGzj/wL9DWIMbDg1dJOH+3RSEvYfIl8/ny8bt
RcnBf5iCiOkZNBr4ridmcxCOmn+l9Eyfhh88YfxGjHCzl+e/4gkiDfibK0h3uRwQXvXJFvK/2Qb1
s6cuDENEILjM27bt1K420va9iB0J+9nie5BprM6VPiJz2eWx6LxogUsw3NeDl7DdF7RLET55ZrIu
PhmOFExgXW3jkktcmX0yHLW0iNY41NG6hQgOdj5fFIbp3WntK4LaCuIspWhDftQ0rBdAIAFNl9SE
1n5M3gh/JdbxZ9pCPwP0TKsT+SFV+ADMPCMbTj5m2FSSXiHuGzEREpelScSM1CvgMgcSJsVZpuN0
hz0w/2DuCaIY59b3McYHy+P1d9IftY1payGhNMcOn029E8uar/DSHtt4VftB+k3kbbYKJx41YGKR
43LO5Gens2iTiwlf7Fz1e60orRUJScjVRX6T7CXv6Rg1h4QLKz5Rb7hrNc/blpyrrYVCWhmoRh/a
a5QNww4VrjiWWHEw7CgxQDNHuI8YaYJzgBRdD8NDnFjhRUUwMM0AVVDL3Su5pu6p8fXwq6L6+zV2
evtGVTaQR93zr7FXWcuh/kNQDOIHlDFzjxL/nLhddY0ExHfAimLf8l4foYLFpy7yiueevCVJJN1a
DNxqKIaAb1FVyXvPePoSMe7uqYzg/rYoe7d7oMkmv7gSbL4deEuq3NAmW6d6ZX4ekKgZ5YczBT+Y
lnnTyvWHlwhWeRqJQ4tEuUaVMW6dl9LyjEHjOh8yX1nZ5QmQrH208trat+2UfRKs6hYqhSe+UEnE
faWwtEsxSdzI5FjFhxRttZVemO/VgCkV+Hd/yHXk5R59aYedIIcJ4SFJFhpCwuh+BfXRMF+thEfW
uYk+kIkpD5lA3JmCwqX/DwoSRqwx5I6BxDhhNMvzK3ab9OJHExFwbRqfzCkz7oqMvGhol9ULWOzx
ko3QJkK900+jWaE+kLhYQvPuVy2GCpxZjumfaVkEUoOmp3Z6BISlLZAUM8350fa2d2lat1lXZoWO
1ZDKY5497Bu8qhc0xqfQptHOT0WziWPX29DP4z76WPxJ1+bZO7MkOFRstfFSOBqA0pTERFKTH6gm
ShWnQtOWw9gybhz1itBQqYP7igk6xGN1zp1yhM7Zutss0fN9Prl3xVBvc4sTiOtNTMK9wF6JxONQ
6MzwUrmdgIvKvGKeD9qdmMoSDu13EY1bPP8xcvTgLWSrpzdiQbA9NFVvU9QKRgz2xqGAYAsLpjh6
pu69pQwSGfjoRXeDpdXfO4V8s538ewGMV0zqpAr3A5sW4+Yg9XZSq+0NecOAxWf+E/PaY8xp9Bk+
rPte2fce3R6LPKubFZO0ESWY+z74TtqNY6gu9Gd8UmxxgWA7rEldcPBtHci/jmxf8K5hpjJSCKOp
oxOmIq5UMoM4kkZtDqWygHc10v1qvDTYgKG2zqRk+DLpLjlljOgPlmvyrg62yeLhD5QKztBxUXJu
mbJi7RnjzPCY5PAS5oG3tzjRrbOUG5Cpu+VhcDl/u2mntl2ZjPu0FAN3U6UwFk/hRKtrMF29cBKb
0LUA/1uhy515hIVR89MeUxEtBQIonQdRs039CmUzcMu5O5NGrlZ4lK441neZwEjnvy5HEFmoTrne
DAc9LYMXtOlpSYeNPDV+3x30aigOALG8Hef+4nsviubYR6a+hIWt3/MllwxuIjpZqbpy4uXATf7J
iUuXQ9iYSVqPh5Y4oR15HHpY+MB9e9Ym6cj7DAEA2cHPnzBjVmuJUU/LuIXyRkDRKt0VG4Z47Qrt
1s7I05hXjmKIoFLMaShI8AjoyWsdkh/KMy+ZtZVmU5aJtwrqzB8XiSkE2ZJILZTf8v1vyEzQbxFv
m0LoV+Vm61Qn7xaF/lLj+oOI454YAzMEoxZ2mVrYQSZAqaTqH4qpG46iZO9mhGE3D5jvOOK3/Sd2
xXTXl6GxCoLuHBXxLbEce8VZddhMHpDrWKEjNUxCtwCy5NYSrOAUnU7LIbCqdZvT5EXu7RZ17hP2
28bnDmE50NLl+CoTlo1FSLe82HXMsnF7QCDXEZWQYOpto6s5eB2gYtFOdq87FFjzpy8zLEJBF741
IHCGLH7E3nqBBb0uuX6SP6T0l/wHLez0ecxunuhUa3pyGMrU3ruJQ1Evr/xF5L71pgAGrWKuHAgO
8a5oAvkQZlq9HStuYlRSdPgL8qiQr8Bow2PljM0d7Ct5LGkL/SK8rEHUG+ZtcCTtnebFRglST+6k
/HvlxMS1B5qM9Pa1ZXoaJNgi+mS6GHlIRVtkss1iVg2IlvULnz5MnWZiFlVIvgeNvD4KkTqRCl/m
A1NKM8J4YyfWtszo2DMM5vNVQuGylua0nEzNvgbOTdOBpD8HjY3/6stQI3BApyB/R6jMrB+ssAdb
5n25gwVv3B2DC7q3h3lBmFzRaq/Ydn3cONBB++Z9Yhv6SibdW0kMDVcsy7hgR2BTbG9JNz0CZG8e
U8zc2sof09xc9lmMG6DTm9UoQRVoIzg4rCA10g8Nn88sPcmqkgGYpapQAKhp/mHURJyBLuNV22Oj
A2jsPCCzDvvcG6d864Q0oqy4nTxKIk6DAnDpaaJlcuxpz2PsUtxRckQJdfmVyWF4lADsUJhcZ9Pa
Gbu3ZeX+DSjD8+B215Ke43VRRBfMZxsHEXmBIP0KqOmpnnIFsDi1bhjay03hU3HItuefC3oW4jWB
T2qyIZQvSo4VoUg/oFVtmSvvJhUfm9jd9U3fYla2mYlPdo7TiqKkfB2iL2Tk98oEsxnOwV0p2uuo
6fepHn2woT0TmP9UwsZ80HMxDcNqExo2PK9E8tkdJ4N9l1NYEK1F4birxJnGs1S2vgyIiq+wlFaX
QESbjDghzoGBRndknvaCvXZagNLs8RAQElslQrceWX690zjh9V00nWaT9fGxAhucOu3oQrlQfNQo
d1jFXW/tqknpN05x40OZZNPG7npxNTz4jnnyaYccYPPBbo8tP+hllbVnhyHwQYtQ1pQAZikYVqxm
yvQhMClFNixj2Flapy/LWnunq0juxirLTqR62KKDChilSz65Us6wKqdInFQf0I6l2dXBcztzJ8s+
PFRBcsxxur21yeA+dwHrn9kBCVikowaRHhDGfU1o5M4PDGPbJ+W7lxU8X7+W657dB6OOsye+Py6B
lL1WYCVQQ8UqNht7gWl8S3lIgtva0F5EnHuvBWy+dVxF2lNh16vcmUEcYgQiADNa+2LUS0A7Npwb
4PlwOZDtIhZIUPPgVGm2ayqi/PgTd1bfOLypeXiCkiuvrscmFeKFtpqifZFRU51E7NVvZVzOIyi6
qBa1U2ksPGS7gDIoSIhVPbvwAibseYBV09c2ZN59/Dm22MquDZ6gBVY3HVDhqqL4+N6qpYVmgA+B
M1h/X5pZ8QK4U1Fu3UOIEGK8NzW8TF3cZJ8ljsNtFTvFD59A1naAP7v0Kk7QpLftE/gsjNATE9H3
2Iyjk+jmnmADjsCRJpD4IQxn26zmVPGzohiDpRbbr9kGIRqRzuDYyvWL4TIkaDtKjZ1IqX1Aj/RO
d4vwG0NfA2e1a+J36fNPu2r9i+ZJ8TwaBvps01NFZLXqzQfIc58Sm30o+8E89J5XseUZmLpwRjhL
IqQxfQYYn5SaN9ciuqkER0MtIg5sSj23UWATiRz6i4vWt3T6qsAu3qhjDhBpPQXBV19ApoCaETmb
IhtnLJsVbOj49N6MocaVXeTWPXkHtR4aA+O6wkyFzY9KvEaIb1xZq/VERcCXbAJz5XMB3EcjFhon
jONLZ0TxTtgAdKlMrQ6l5evsGra/YS5D/s6Mr6nWF8SXOZl7sW+ATDAIwJl+cjGn+o7iIXPBIE8t
OrfJD96UUo0qTX/fuHSI4NpKf/BCq3XgS/eYuhGqBSREQPjZ+EME00dDs9rCg4cFfMMLIULQpMCj
MMmkbIYTIwi7IAovXZpycjT8szk7MciydDAnRfwSa8m46qfsDVvmhP0+wRncYnkQE+INOf1laSr4
oVzygagXX1Uvtwz//GPZ+OM6qKFJSbyIz4h9GkV9MCJXEd+5VdYR6YW0RHNeS1bE5gi2rJgoPYUc
4APuct1zqAtCEJX+QGtJsLGDjdcHWwOc6yHIu1vSOys37FlcRo7kur7RQmO8jAyJNk1IeYM1DndI
id/5eA74n3OKhcpuWgnMAKuqqTD0Ypfb1oz3CQzrBbU7IA6NLKCzr6afoM2itwlOZ8j6uaa9XZ/P
BvEGng/hCqkxMbPHYIcAAwLAjutbJ7N4Bdqm2nUKW5omknzHTpEcjI5EatXl3l07oV7QI1QtCxGe
O5ccCo+lwykbWgNF02Rpj9LENKHvBpimJ998ocGBKhZwEhUs3S6Dq7sspYazNhW7COOC5/W4Arv+
RE+phwVfG7oHJZLijRIXvjxWZAQf8AcnbQHKaoB3EFWDvtS75JbXhnY/2NhQ8n1tdzOWN9Ibjpmi
u5R5WlySJjG+sQPWF6llXHOjmieeMKaj+9oYAIRoePCsKXg2jdZGa+fesmjikftpXgzjvqhTY+vg
WN26MnTu62JID2PjtHsxloISRNvetp1Zf+DOJvPs4JF+Y8zakMEm4KOk5MsIInXHW+PDPzZKhOrO
2/mEpxZ4vjE1lqpZ8QfYr9yl++cOkvNDU/X2JaX5A+2kKCcmv/Wdxc/0hrjJkwHr/xya/ZfMEkas
8RQfIr0z7kaDX4Egh+BgzZRQtHuQFmSBUVEcY51Dl+PKAQRwHLWTliD7p5kdblwOFoiUlTbDfZiH
m1jqOKYnfG116bsPbjZoEJ7MngN3mZ/1XF/DggGQFNLNLrsw3oFVTw9+jasDl8rj4KTvtezPZHi0
BWGFT4bPyd6twJ52ZDh0AsRyYQ0visuPx3fYpVDv3Prjt7IqtEOcRNHt/8rcc/tVXt7zL/Xff+kc
/5+//uP/GxXkWMdwlxPC+9/nHbdt8l6/Nz8PNf/9d/1rrGn/g94BBpuOwKuuMzL/t7Gm4/3D8DlD
4Yw2baaeM5fs31oJ7H+4BvZfZDDzn4PN/5hr6v9g4GmRn7RNkxmSYf9X5po8BIMQ/HvF/vN//DfX
ho5HYJcBDqAG02VK/utU0zehjynsHOtGRHw+J4YgzJ/wef30plz/+Qf+3AD+e0JXJxNszzF50sgm
r+u3h1H4YZMef8Car2L3rdM1b0OLQ4ju3KS0VOYwUP/6AY3f08jzIzrCtT19joUa3vyMfkKP+vmU
em0aOGvwrD7kGAzeEW6oiLtO4VoFp7M8fvBagDNN4N23PYzdRcXv+laM5Db0yk8Oyomsg4Hfc21O
LQhgCADnPJymkwE04/w3z/f36Of8fPmR2wLmHKrfH/W2Pz3fxNUoNB0KQn5BmX/23ZgChDb4O4YC
f5XQtbPAJw1JJPbKz7qE9d0OXv88hgkbaDs7VNs2fSrKoUHRmsoff/30zP/8OeHpwT11Z/opn8nf
kqmuj+MWvZcGJkPa53gySPPEYh7mqj46UrnCEAX6WXkE9TGsdQ0pdd5WOUW7zEaQCV9MiszuMLIc
DUPiVNFuQ2gICoyQBCN29i59syDlbUkX1desZErWhgaxgrGS93/9Wv6oa//1M0+CDv3RMy0CCfz/
rx8NL556vWktsZbs2qdRQKGDk2uGq0FS793XoE2WuaWLtVaq/pPoHKejjGrYdFHkMwLK8Zm6DEPz
5tgddVfkwU55qonXwUg3SomzW8fmitaNbulmWnhHW1y3b0qo3oA53qSoGAkF4tVH2rw0WguhgIzW
GJNdGnG3gqh3uOcXuCK0YILoHDFUYrMwgg0mYAeXgYvkOnqAmrKe0Zqk+2LGhE8IaJY8CqdCxk0Y
wNNKaupHPAzsgImJt5Vb0pC8/vV7+ccX97f3Eola2BaHR7gszm9fM+nmnPrUKNbUmOR3pZ4WmzLp
9ZNHgyk7zg+EQmb6mGeA2dBule+oQup/OFVWf7dl1ZyrEA79wsSUtO/LLFu5GjUDuIFcYwk8W17L
qFQ7SPfhcAxlPn76bW88YL8sj4DbcaNbaXiSE7C7ZUZD2IKy5eHkpbDBmtbR/+aDw8r6+2Lp/YGr
teYMuuCr8OsHR3o6CuP8JVBp1V3o3miD+a2195Jl/aqNjr+pDMJMAXSlG/fK8GhJgdKAJ17ujMn2
noQS41fdh/rHX/8c/mR99VjLwa3wF6n6eXX5afXIQroCM9ELgmBUplh1+SPqxr3dgJhwh+6fHFLw
oOFX+SeL+Z+8DaCdTdCqECsNlvRfH6xkf+AS3og1TBP3Vaf6Yf4WJ3d//ZL+ZEH85VF++5YytIwd
ZdViTX9n/KWXuJXHttAkbGWmLH/9WDMP47dPsUejDswBExCnPauIP799fCQTKc1KrAthmUdLy6fP
yamck11buK8GxbJblL1foqTpxdUvgnr110/gT95SoFH2rGIKYfPLX59AqfVCVhEj2YyWn2ejr2wG
wJP7N7uw+TsXRHgGBweERpZwNAN3JpH+9DExWXK9MUucdSfqe4nxlcn2uE24Fw/5I5ygu6GwltbQ
fw499vgo0+4mjsML9hOqeax+XPltq6DU2eXNUbLfzl3VOEewGUnCV2Okr2UccmuAhSvtgYGP5U8M
QgB+YD/7G1zC758PgSRsw+CeqQnzuQrp+efXMtlTWrVYyNYV2w7xNqIEHJCZozml9jc/nf/0tvk6
e7NtIT1Raw9j+deHiibcs26r+dhUnZALZKrtXH3qjmENhNVSQQsr3/D/5kE5Cv7+rXaYJuguxyVW
VldwPPv1cXuzEWZORHzdZf2jQCxdWzQNb/1g6F+tqszBCQ7qXiMjXIf9m4udb+My4HhPQrK+WCeO
nH0W+GlcUhXOlUuSvuK8C0OxJpvbIFpRqfkWmOqt7Iiq6viGPQ/zkuIyuKgYCizcftiLtLMXtav0
q+9A3JyJPX48YgjUaJMhXjHq6EyBAIwKvS0kwitNLdu4AzFiH9fNwpL5rcVFix2H+QHfp5EYKov+
PrU9ZKeyvZucd9oOPgt9UnfFlIsV7pfwVZVae6dVibnpE0UmZ0r+YJjmGPHcBLi/U+iLnGvu20ip
KYUjEKKWPvUfn2aGc96OUF3B/lv22xCbBBL0/FFKPJ7etuV1xklofBBEqNfk7LCha2H+DRpwPOFO
F/VGVGm6LoDp7oaMMmhS8/kFFmF6NQYH0d1MqmZNhJc9F3/Yl7JS75xj9NvAdkTsiFN6B3yQdkTS
6JRfBexS31JVAG9UBTHyhJq5zHkQBH1WGG+x3RctY+flVEXjEbqAfaMbpFq68bgeqHPwgViVUTFt
zYzqMOexne+Xg71qRtP/Mfb0wvbtY9W1Xwmny+d4JlmSIs7Xvte95FF1UPmgNqptOny4lfFcJYl1
69JaYLOS3NwXI96FhT/5YC+qW+5TZRq23rlL8Zk3EiZFRBoNsJuHMQ1OSHdX07+5NaZMXJvOyz8L
xY+tpYTWZmYQ/gB95W/DKUC4ZbB6U5lnvBaVzKCuWaBhGyzlcTJ417LM5Q07GzayAZigWOZmhUM3
gfuZhVNzoyK0fZJ4DJeVVo+PWoRAJEstvWiyYn4+1Np9ykHr0uLQXibzwMWgAJFHduQlmLR2TVMM
GHnbM961wKj30NfExaxlRedw1eymJEdYarPvdeeO35P5Ffa60LZ10F3Jcmyn8lE3DBJ6+XiHPnoO
NFdtEz3p96WRlh8Blt5HOlqMRQUjiwM4wTyvSo2D5maEBpqqWQFbZO4/hOLmVn10SaE8Md0eDbTS
uvjh6WrYaJ09HnJZ53dk8L+iSrwVuk5CQhklAZPajIcXV7nlzqaVh2kCxuHIwhfRqogqkj4pFm0d
vtRSvUi/Z8bWCKP+npUGUwsvdXa5X+Vb3xrLtQwKc8nNR8FTqQVujdrZJbXMNrVG15OweFKG7pCp
qQvtTCIQVx1tOqc6LZAwaxBqedVTTGGRmnaKcGu6M0Wh+7JEeMxKIj6KMGKxKHQLSiZW4a1JRuih
G3xv3Q2dtkktz7sjoI2ntNS8B6sdvytPlPdZ3Tt3omVV4DtIQ5wVd/ssF9dJ6tatjXJ+JmYLEQyP
WXuwDRQ632iiTeT3PV58BDyzlCcUJdKyFt1opGZAkART9NRYONZSS05HXa94gWWlliPuaYxuilCB
UzHiN6LknTKm9tSFor9Q1JrdmDT150Zo+VqT6OIRcpmw47cKKOYmpCkVGC9JnkavV2lH59WgMSSE
JgKKVBvMD6tPWkzLFVKVHzH+A8hwZWjuh4uAq52zsXL72QoqwRoYEgCNGGUabnoHSgbgSTAeqZNC
XKWWIE0egzQteMUyvVn6YFBrF5ufOmC0e9klnPS9frK3iTJxStZTkUAgcO5qE2mVNqppVw3WgxEM
S8RYcwFAscOL2W6xgrRrvzZBrlTHCCMvAInvRWzPvvHOxpbtmFvEzgekbXx1Q3cuRBec+rZM4AaC
5nhtmMKvEIeKgH4ms6QRNMjdDa6Vhtv1VB8bowlJBVhUt6ThpQVFvGzM3lhGvTWZS7ccUoazNQJy
7JPvFqrA4eDbMbX1AY5Dq9yWSZIeSxSfq4bBYUNwrzhFZSkPwiH6ZTvVDRYIwVaiHO+xXZdkvvR0
awRu/BwUnr1uBjs+AWC0XnnW5Vq1qbgUXZxt/cGbtpEjI6LxWnKguJUwk8POWZtjxfdC+rsubil6
h4R4GkkHrBTtZ3tpCWrjR4Hhtk71c9ZL0DwAafmM17fa+JFGzBGwOI/q0WvcAkhBJK90m433cFC8
o6yz8ehObnLUbWtc28AkX4rJH19bWpaWvpkZ90NYVdtC2OyFkZls7RprslcKxElcw5uuImsuiZLu
48gvD4kVst1G41V30mg1pCSqmew0a51Xe+phHh5J/4hTYLVijYFbfzTJJdyyuLFwyvbeyfbDdq37
CaPk3ONXyu/g0ySfuFOSx0jkOgGFUN/xEV1XrfruwZpH2uC8CHxvXl0oFIJol0nO/QRJxr0i1Wxp
9UG2d0KP17lyirtZyF2ENEc1S0M6wVrD7nu2YEjeN0DmP2EC568uOHpq8+znMYAlWUZMtYuq6bai
72rCYVNDoML2C9JBTo7RvoJVZJGWxC5nrWI9UUtXq6sHAvZ0Dg9T5oPnliLaU4MjN/po07RmEPtD
TeWDHzQ1jfFD4dh7ANTTnsrMF89u3CtiMCVFg6bdSDdn5ymuPh1l0qiT1hYn4KwuHoq6vcxlna4C
n+PVhzCdwqtIfWeFDyeFCBUl+87ifQ7dWCwri+gY46izCuW6C4MlB7VgUwd5LxkQ0M1FqNS/6w2/
vWsaFT5xxSTgRbLCoMWrAJLsqq6+0HETPLu1a9zneaOfzaaXBysMhzPUZYXiG+uAGasoeuyZnl81
3RZf1qD7H14cFdRgQsZC7NfPBgRZIIYFClXMoW9D9NiCQzVY47vpK/eUd2rUgFSVxbr23eJeFm6x
j6qk+8r6wWnBxGjySJ66o0VI4hRwjdh40gLOJEkEA58IOvt1x/inJMpK2gMSu81W2VbBoy2Nlh8+
cS8oz3k4q5JIuwq5Vi4qmpXAvpjZ88zqJXE6ZeGqVllD3o3USLBOMJfQ9VYm/oUwYbcxEbpW+F/s
gcVGE29hxRbkyiB7I47lwrDSNJxsyLaLvs99yOp4HBeJDvyI80xizcJLpYCEaNMdbgXWx6ZW8k6O
kTrjsbnPnem77SYvLQyYTRSN5qEOA7BX7QQsAMuTmnBCUfBM+smayjVZmIIIDduNbroup9t6quYR
0bAqcqdaycxrT6ZVG5soaKONayUBleSolos6D4Z9F9EXmlsrFCB/7qqLFwZAJ8x6Y5Gg9sbyuaBr
sw0+J9u993rzsfa6d4M+UuiY30Sq/hd1Z7bbuNJ251vJBYQfWCSrSB5GFCVKsiwPbbfdJ0QPbo7F
eb76PNr5Efz4EiAIkJOcbOyp3S2brHqHtZ71kVqOE+nE0M/tZHpRb1Z4Jk3tPpSoA4d9WWdAw0xB
bGi9bf6jNptu70pC93RpjMRQlxZ1kierqy+74dXo2d+J2kMj5TTW+FhUGcAIGNAS43EFK4I/wvjU
xjJ5Lv3lNcaRFJGmWX0uRBqASJpNO2K0NH9NeTy8btptjxDojbBqGjeqAKngPuPa+zOO8NIbzYou
gYlOHL3dHHmTPaxdXf3sAXqIJlMkn1WNSKUTI2iBOiEROvHP6CoaQuUYuCDAR9OHCLw5uUCn3k3M
aWRIeJONvzvB4aLqjZ7VhHa0G2OV/eXXVGFJHByZd6uBmZUyBszztuHdKWYvRwKb9Ddk8FkaOoxa
w87y9QNZZwaSE1W7B8wS7pFFEzDYzKntQBD5dqh61E7G4tIwuAwNiUlf608advPCiKI+dp7l83KP
PpmmJMM58fYs8hlXIvzlgaHjYbEH8yfvsBWuNnGoxehtT+gbMO2TjEcZjOTxRF6ccTVTO87JB+6K
a8l6/tZRfMA+KaqgFmV9HGOPYDXbERedeHgMzDPxP9CuxiTDi9amr85k1K+btI0Af9xK6DXHaa99
9QyK0fyRytJ/GQvLulouJm++ZPL7fhT+IKU2fQUp30r+ZUGAX46Fp8kN/83dhuEbCoLC349D9puD
pXxMp3l5m1np53j1CnQqUA1+3Jm+fIa0iNLE2x7KIWOvvyXt89SRT1DnjX1CFDE8ZkLXOwAoyfes
GeMbJrmKF4jZywzK6aIp2L5rP4OU0mG6PlLzNA0rQ8cIPb34UTu5E9irMc1uTAandzgr65/FWPW5
9lmn7jDX9s+4vFzGKVu3RhX12kWVg/qaBbJRlm5o0RBtNs+tlxMCQt6VZZ2kS3+cwjITUQEIed2R
kFIe2tyrorSa8+99r7vPNgdpHNomi4Nd3W5E3lOc528j+p+95a0idLTR9cQcahob1LbmQ5tO6aOB
qSQUsm6iKQbQZNgCzwoe1SeuyfwAVLa0eUvaBMWGt76DKiSeMjPKAIGTRPq0gSZrq4Fd5d3Ki+lt
503FGDV8BAN+blP95R9BZ89OSWlZrJ6LLsxo77quxJMvBGJke7fLqULA0uFaxib1JoiAI3LPpL7j
P7e4J+IlnLbJuolJEzAM5YZOCo33T5nG+WclcXiEsZDDBNIcp+6LnSKhLFGdmHs0T8T51U7PyZCs
L3xQRuhNtxCVaWr7yKW+HhdX6aiwDdN+13Hc/52sHPQuMu2xOlsOdpmAxkDOF3/NFHS6GBHIvlwL
EnippA3jxnZ/8C6CxMs5XKT8GPWio2bDkltuth9lRobGQ081bn0q/LzmbZcNRs9azzcWvS1HwbaN
C4rfzIcHXQGLH2ooHtLdvCZEQr9aD4z3YrTvmWRR5REIvZNza5wWsnOvhe33b7jM8gDLktrNrUuf
ZnjL363xNyJ6LWc+b0atf0nRTIe+Iek5WLlhsfDNAKs1duPvFvbUv2CicGxu0vjDR0eYFM+9xB3f
DGeuQo4BfjZOFa6j9rpH6SXrY18rJGce4tjDJFFNMw1LOM8nXc77yUZG0MZ1c8sm33yscdr9oLWk
XXTn1vuVk77DdJ2D+3tLGloRevZ8yYfUg1sO1x9Kxayaz771EVg0TvzBSon3akIdY6JSfSU+xHuI
O5kUB8Ozf5UWA6i5xzU0OCxPmGcekfOdi2Ke+GYzAtshHEjgtJFouozLcLDNJrk02GdvhQQyAGh7
7NzdOEF1WiuEh0iorLAxsm4ItVV33+1cTVHO9fWOqiMeOOFTlfNJRH/utrz4WVMuhfNcDxGvaoJH
dxRPTZ8bascNiA5qweQFOn/Bghwsyxr3e+mm3JLLtF1zIWgM6IZ/WbL1TkxXk4s1LV+9mL663ngz
aQF2ZZ6Jky1cNuY10YoOiYwok6vxvUNkd8bt7T/kTpJ9TcDDMcvX2frIZIubQVNYo6awyFxqSZMK
m45AgG1pjK/evyMe2a39xYs597/vvwWeOzWDkllSJ5WhAnEEA3HKaO0V60yM9kj0dg2c88CJ+XA1
ypFWb++y6yb2gdv8K0NwXwSTtwy3JXafSEaQ14EzWPKx4n02LD0THSzyl2lot1M3k93E2/Fp8lXU
jmQBB6GpWyBfW9F4cEQs+27dfngjc7jkCCPs0+28+Wa2rv0BjIFPzjW8Y744nNhxQVpC3fTO7RQ4
RtpumO+wxxlimSGikwkylwWyMrGh+NXtBZTuBLqxbf6s5cK4TRM8GDf0usaSQ9Rt54Hkhwr+wx0L
zrdQSAwKJl1zw2UFBWrhSh4KazlCTTdAjfX/5JwjPU5Gq3nsyas/mE7nntBUJ+aOk0684gBTvxll
5CSN5x76FTCCp030Lxp90ZOwmAv6BqJMF+feNQYWNuQ8h6taIVV5HhJ/fuLDHGwWdg16bZ7YFH3S
5H8AWXLf002pc7F2TVB4m2A0q5e95O49gySzrx6hCnuPcuVjgrZ+0VLrgOKgCa1lmoNsAsrokFl/
XWboYMwSjPVOT2dbV9FfPUMy4amb5ukC1Cz7nXQYERv0zJjfWKPhz6/ekJsU30ibA7llJO47+/qa
liiLESs6Y4uZNAHtUKocrodTDTiOSIpgBltar8NaEZW8IgukBWpOYkNS39ik+XZ3BW3fFlMV4Awd
CNRZNMReaskj13QOwsw1UaWAJMPDfeeBYIOYfnCMEumpUC75Bx9LwAbpJRswo/BtuZP8Gn3oM3d8
wVViRiXlPbkkjEfQHy0WwhdfzsZzVq75Y1vXMVgCPRzTuoMpOEv1sKB8i+YCvInXbqQETT09UA8n
r4vz5ilb6idMm/abWOJd1Vk/slrBlvfx0NegXlAXTm2oYMT2+6pTAVL7K7nYMkqS1HyBX2UHbWV7
Z73O5TXri28VdvmdKKf0byss8ep2DuQw1P4niGBos9rpFXUUaqlYzS+zns1oLGVBcoYTVKOuwh72
xwvAmYSUMa2P/dCpg6WZMjPQta9z5YxHiXwdNuA/XHjOfK8DBYhc/LjgXQR+7B5HGMv7PB3+DnQr
f1bAtHZjEK6yYp1Z5ObuJjZfBQCFk2nVcLWgCR3dFDBwGbsDbhWmA+Fmb+m3YRwPoF1Du634GbPr
CgkJ+e30ersk82zfCEFEV90RvIICnJO0Yv50dGJCsevCxBtD0rcXWvLWEv2A+75oiFeRQIkhzOBl
GFgtN6HZlheP2PGtQbGUV4+ELYyf2pd/Rs9IjqOxiNNaYekcvFI94/0M6h4y3jZEBnrJXT0kzqVr
0xuz3/ruUcHulT/XhgR102wzRxPtsDXrhXH+tF4YgL0V8GuSxnQDFg8IIDOGfROxoTaMjwSGAb3E
Uv6xhzhDP9392LbkAZk7VvIkq8EaCwupN7t9i+vAkIdG0gJtMju51to3u9pvNYruik0WpYd7kQYk
ym6jQYadRVqBLe+eFJ0zpKSdkMJfflQEi15IwUBLXSua9nE5JJy5e9NNimlfZvJXTeTIK5zfagyT
1MI3PBsWQa1rPkTluiKYpatIz9LIQDGD6pWf3SSM5Cd0p4LXs2sUfa8vvtmAtOm1JqZtJI+FBe9t
E9ylz5vnrf6BBQWjjC5bn2PDiV/bBihKNvq1f3Q9bGwSlhu4jzPRMBkLzIlEoGhyt+xn7Mbcim7O
I9VB7c+/GRkwCfIh7NT/mWQxB7GQthuYSJnji8roT3BrKwHJ0s+LZz9xpX1inZ2XwTqyH2FBmz+U
KH2DrcBkMbdQf1eF7BSL7a5VEDTu56mvSAbpspd8norXcQA4HXBuVEeCI5hpznEF2Fhlyv1sMIzd
eePyTwFzbNc5/qjJPqFu7unrAosEvsO2DRaq41WAC5Zc96XJj5pmcKJbjNH8P3tG98GguIM5MEMj
WQb3DP6EGT4YGMcZJKcVfjGTpDp0CIRXWKdeNz9TEwQCe64biOMdIqqbbSQXcCvGqyPuGHaSyJNn
SUFy5YlLIaznLR0xsIo+gV27ij+dXAChrDj4SphbbJfWdqdz/zhp/wdRdC+yXT6cuF9wswF02OdA
sU8L9PTES4ajU3X1o28ThaU6HnSdMWxM8KQishHjC3d3xQ1ZMCXLy0aHtAF0qgORXMmu3Cb9tU2y
DDrH7gPKHjjeyNwHN6ZnchDRV+hY4qDx+/kVROrwlmClhmCHMcsqZfuYI2AgmfXa2wYp14sr9sJL
GVL0BCt/0C+gRkSV1hLATgz6RPzJj0zkvQ46tS6XbehNQD6yyCl8M9bC7cClqwEisaoIPOYFa574
0WqKcW/S6licP7p+NMtKvrazD8R8Zn6amQbLEZl/YoUSx3XixGW2ulyzWnaA0JbtY3Xp2ojrGCYm
G0i9s5vq9Mc8C/s52YA5HPrBXn80ZlZEI9XxFUyM+ljbTTD8Yq1HSbTJANeYb16X0jDbnevybUAP
ZuRHgt/jm81o6De9KV0IOEqCDUngDga+f3wnjfTuX5OifKOFA5cEwbNY8a5oYV4c32Bf0E/Fmx7a
qBubGUbw/D70OP/6OnljgXxshOdGJbukcNxQ1pvrChJFdpIZd27c7ISVIudK9gYFsUQx0tCZTDxo
uxJV6t9qyx6bltw6J1uPrtXtwYDUoSpmrmwG+cHmZUzg0yZMLbj6PUqbcedYpNT5q7bo8VHDqL0j
s1/WCBEEUWMzR5r+84MMNWarymlJzbTaP1XBPHa/WDwgM9Ht2U63/vRaSgFqvxVDAUYeTpO/be6D
m3r6zVoUlsWRYR0BOqTC8edy2x0uxOQZRsnj4I5UFlOTndmcsHLAjkzer19CczFHGC+OnreXDTow
8n4x4wOAxR2hzwWhX+HMp1rJ84+cU/H3JjoiSxHXvCqSjZkTL012kRimGxq46WkoWJtNVkwjV1vG
pcyshpaprZ1TZ00OyHWAiY8g9M3ztAL9YIXWgI5P0+WeylMCwKMUs/BVD3zLA8Ma33E+gVn3Ni/M
1ESwuidyyjrrpNyGa3BO5VH2VFA7mlLrSgeHWbVjq4ihq92eq+ZPn2fGF3laRtC5o/FQ3CveebOy
F/R69aPtT2NQE0/3lG+biniV7CefcdC7Azcs9HxD7lHPV/R7knjMDSKQxAYdEITGuVVZxQM6J/Dl
7j01LW5nnOf8fCZqOYBQYob+XrD3r+F+74o2Ft9Lxg0gEskmbgo/3VeZrcC3+9m1ELX8DREBgyJT
PS6PIocDPjrS2KWzkQdlOmLLbYCem9C24fsZw0eXpfJV8Hw+p43gUUrsgbnDVr9IpFq7mj1UwM3T
73MOWQZUk3MywckzTSnWbO8VElyMborj2Kvhextz1tXEuuTHuULZtlvNnE+sjTGFGFzh6m4SFxK4
W6e/HXS0n3Lysttq9S187MIILISKuzoHJuIBAQ4sM1F8p0o4NJW9XlLD48pJ6omfzly33k9jNj4r
j1y9ybWv0refeKCY1jNNwvs35E8pGYPjfsyRmO9nJ9XLIwy4pjwSKtOPx5rDMw3Srp8iHuuW8tFm
ZDprLz2JPEveXHhy6/0imsx97UPrCAy+s0gGNsIuJxFH0tXdbyvBXcbMPXbt4daSY3aqzAWGc2Fg
iBxmcpmwtGfxc8Kw6JWnK/teVI34mC273Cu3T8LEkMkhruPtpqoaqJuLdXIXr3gVAOuZH6guh7di
sxhMebplHL4J75R2FsEfnkrwU27Y8mICM2FOra8tMSYPFXF5B26LMlQubqRqMck82kxC0cB4/NMl
j8FiV+3FyOm+rIRga7km4mQM/gC/K2NjspUeWYHk1z0yaCHLIi2Mn0WSqHe7p9CuaJKi3kh75rAQ
jZcMQrgYVFhay/jH8FvrBIk/RqKOB6GEQJQ9AI1cnngiy3twL14nNeW/bb9klk6M06vrWhORSvQ7
zX5lfYyCgaQ/8iuXnL8WTEm+YQHxR0g28HywLwz9q1h0/+gUdSsfTa+azsMqKrRLxjyGkl4rajNS
xoatMJ9Wm+BReggtIl+kZdioAY2KaJjqQdv+Fk+29Zg2NYWIcBnaEKnG+8yr1yQ9S0xvK9/STiMh
MZBQbX19NWrjza2MLxtp5zfdGO1LPeJOISQ3u1e19URwZfZuGt10WyE2f7OXYnoxCCIA942bTpSA
F/Lxo6hV/ySFvXwYJG6EOUKUi11nXjC68fjBsfJBqpp9XY17fTDr4pEcMOtSlb15LBMSBBKSFoJY
TsWfaYr7QzvjUu70lNGqmJwOCKwiesMMuFNjDQTEuI48lW7fHqfO2z510nbrblg367e2Deqx/h4M
UFInX2DmJHtA6sxl7xGyPZGcYM9GC8TFXRpRjR5HE9Yy3SjmPmo4drY7nps5hgCnhPiQPkEDDDQn
vDRtpsUzw9bsAmfShm055HxVdznUjVmckrG0nxq37UPt+2IPfZW0B8FII6/+wsk5qIU7oyS29kgZ
DbZvtZ12F+dQPuM7Gq1VTI2Vl3x6afoHldKXx7Q1ID3ikMXiAN09C1pi1Y5NW38VRJYAqTKOVdaV
O02gB4AMB7rTBNwueZhdrKEjxw7u3v1SshgyxIr3OElDXtlgFM5+ylxxKqfmde1FhGIocM0pjVYY
Y4Gcs7spMqYKnBcWWd7IuEf35i6xjGgz23NpO9GYrw9Oy/R7FYqNEF8y6r0lPzhDgh652TKayXHM
f7jN2h0MyLpX0ErFq8X+65us6BjvOXc7RfTz8b9ud0R7x+o+dCHa/jTS1LnSApvYsJPiWPVZ//aP
nvH/dVT9/0deEIH9+j9pOv+X4Kv/Vv1Ju5//5X+TfPU/fuX/DL6iy/DZu0mMkKiIUbXOX/2AFUP9
y0XvZyvUjB6GEYkY8D/MIML/l1Ao1hEcuRSJqA//A3EjrH8pCyI6AdgSe4X5f5VDL/4dcHP/LQT6
Rh8nAhrHf9cQYwMxJjHmID/HZO5f4dt63zbXqGh6ARTeHAo+0kJIAcLHt9QHxxxy9iuJ/D/oHi3L
vUs3/7Mclz8G0gXftSWSfyTG/+YWMeWkiATx4T8BdngvPBClsfLj05Roi8FM5j8sSjHlJ2UvpiwC
Oh15qEKQ5C0y4l9lB4Mx5bEuUv1DpniiqxR8B5V0BpggieWTOazxabN6a7/6/viYolpihN9KYkFb
w3pO+469H5jyE4r1jhR4YyMqOykRNHQFnbl0iZlMAD2m5jh/YOpwCSFUzAlyuvKLQngCjtJiVpvz
/6+7eWQgAhMU7r2BEIvMxkcyro0IQgO78Y2m5acpzfIqbUZ9mPPLkc7MbC+LGoiNX5dftj1sfwjs
lt/Y3/nHerW5v4q5f8rKAnYeS/mM+JS5/jW4Xn8iEbe7pc4gzmYtLKxy3nhX2gxPCUg5hoKkjhIw
eS5ZRi24NXd6VMnbCpay3eXO2lNlCvUhRvxttTKtt3RmwD02hX2iqMJlyPXHTisxDvwvJludGNf/
nHZRjz79ITHs+UQ+hWCgXALrTFbyftrxsg4GUj0EJmFDgRC6Y2sVwcgRdCCIQYbx4JBlQrXzTeIz
2fvZ3ViSsMksq1l+sKCJw44NDcAK04ya3t74aO0TpEc2PsqYr4lGNDXOi/GdcMHpkBMTH7EuNwkO
gsOINzkPbICWf1qds2DGrfjsaI+0s1gZ43VudHfOEtvZCwV8eKFvTNuITJ+L12LvTRZDHSbTvbHR
B5xj4jcNNjC+lq4sNLAI1N2CIOrCXgeIRarZO+laRnBm9lW8YeLJYUpwc5djpnaMQWk6x77az7rL
IqCv6b4ZuvaxKYrhg6X0wGHMOG9LSGtbYdH8crd2Cb2pWh+1RHPmzzxPGY/VwbmH/DR2r+9/p/4k
HbJLYrWT75sFBpPraFqviQNJpUxr8WwutoBFOS03cMkbVzxM2Hlr6O/86pbd106pHrdjg577uSyl
Opalsz07ABjDdgO4om0C2Ca14T1eM6YijNRCGwdjWDH1RjoCClmmLWqOihBYfMdNVM9N815WBJb5
GS1hVRZpWPn6r006ZAj0Un+LHbaULngeKm6++pi2KpoWf3tY8Audajl4x6pKrNCuSCOHoODeQUO+
j4vG9FjvxM2+SwiP74iGCIF7m8vRlewHUKp25LDYcoKZpxTvGlz+vdEsro1/Z8VmSxVxXu9QltFe
1C3rDftlYnlhVv3j0mzb0Z/qu5zZQRlfEgnrTEpcEy+9+RwyIdaQmzlqWiOyoaHxsGMRdvabbiv9
q5OFmhNldSD8LX5YxQxt27UBiHLqR/ZYqjPwuuZasZA5bdUkubdddaN7NIm+kPFLUhFHYTVedlY5
TiPgEOPvzinbF05mj2qs7n5YLS01kT8ojBOlU/h240gylZOo4gTUEqyA7Ch63HFcj3JjBbxPkxx4
c9+05L+lBZMJZAwNyjhzxkyNJek6zg0ua8KWDoikbHBKHlTIGDZEQDqgO+yt1rRZRY8TYT/CxkdN
zPG7jT3pBqaMnHhL+jV7irTk5+zDRpCfWnjjs2HVCgWn2XfvPStseJhxclNDp89cfoiR7XQ9cKat
xx5fx3ledfpJ2B+8WS+h1NTpRCjhYvv3OIC5YhbA5NV+SJtCnl3HiR0yf/2vlTotwX5TteE8DtXZ
K3v54WT+XeBbawd7oc3k03PVsaKK3HakuTd/s7pYGxIKuuGv2+M/jqk1PzTSrKhR9a1Kje9wNXpU
LCYIbqGYuVUZJmMSmDESYvIZeP8357N0C0WBlSb1h6O78uTnK7+BObuneKYsX7VGVGXdY5IMplfY
Jtq4fALKidZex7OznFS+Tv5Do2NRfLFH6ccXeOHOKy2BvRyGxmh+gupafsaxVb3XZWpgllKIFeKa
CzoUbOx4e7f5rcmdzuCSip33ZJo+CpZbF4Jxlxjh4doFSs3kLsohw8ed2bMdqPvznzSd/VItnsbY
QcoOwKdV/RWrJV+4CnvvNLt5mT8PINju3IDsdexaSgJBnPfeRkMhHxlotn8T3SNQTzNXfYcZaf8m
5G49MaOWBHNN6oIfw/vytSuQhltmHhmeQKCYO9CssXm1r1bKKry62zOLgkzaSTCDdnqjVRDsVUvu
pGpfHE7rVxbFbZRXQLySPrEY4RepB3ve8ZYrjnI7YrKVhC5z2sPsxC6gktklz9csvVuPPjQ/TwUB
NZN3ya0cvZNDBtkd5tQEKHxa83vtd9nnLPORuWSTMdQBBDTYYVaP8odCUFPdclCSdThkFeENKNrN
sBR3lQddtngWaFc5bg0mXrOcP8quEW+2MduvKJr02Re9PFj2Ut9ivIBvgKFTFOR9wUp44ktQa835
3q461gYLk9O2toaLcHHwU6UZKJLxpgvkmEE1b/WXmy3WwSPQYA1Iv5veQDOg/i3ytgJDWhXL452m
M4SYeBnAb+mkgaxq3AO5uFNmyAoDTbr8Sl1UdTUD5u8JuqErnFYd0BEwXtOOHSCoIchn4v7U9CwG
2tkTg5DtNg737Vvr9yxtTW1Qi3nHZcnxDFe60ETe4VsdlgtSc4Og0nIeLZSTyzaf+zpPz5Qz9X61
BImClA3qm9OP6RJ4Dff7kaZaPBUt8QYzBshdsdHoBnlndy/8qoPMQV91492QpCVwahKkL0RCrwTc
YSjdV33XfzSxYvuYy5VBjDUcIJsmXEe2f6haJlm1cMsjlOTkNrEYOwwOz6gDfPdBGXcrZtJlaLx2
jfOVmqd7lhvUpZ+xJDrMLs6W+9FBtrGCcsL34SxG/4v6sj4MQjbo/lCCfjfStX0qO7SXdhGXBbpq
5T3WBpflcTXv5KK+8I+eUeT7pLhrmWLpRDmjkSOqWY8oN3aVj3XGYevJUWDiZL+2xKZYn1iDW2im
6k1ela8naISpgWGaWMZLhhTrGxwX9mR3aArr0fKUw3FACZDafciIcf2aGLa6QVKjXPIG4FAA1uFI
+nnvkmRn2sTZMjcHNlRrclTDperNPGbkDHaPgRn7A69fMqTODVlvpNYnkVxm57TVXXNQbB8fKnc0
H3OmvRb1bfG+wPa2zmw4DLDywo0jn8FkGeUwte9eUKbsYpMRH3kOFKuuCOWs+DWCZH1yZqunru5X
85XTJpU8uOPY7NMlI6B0iEM9xdO5SHzsCN6BKPoypOhpjklc0YZLMCdkNBo/tzkeQMKpwTh7ef6z
tQ3/hiQY+BMji/JrrNzkhi5KcvsT0rjrFofuYYQMB47DrK4uOmnkPJP5zvbAf+KCQ85kzpC6mewj
MLDGA342ngkov39lqcCjCdu9LTK7qwnc8S5jdwWnaGO8GwqdIQ6dGA2+31TmkeEvI0y2LC/4gZz7
LsqyHzuS34PM35afhPzEzyun+NFKYI9hMaYsE4wJxrL/6hxyBVUCi9BFWMTNmcQUnZtgETmjzqIo
AL59sfkJhflauOHESgvbjOuEiosGuXabhzqL3eualum7GLvH1lLDoS/q/ojLul/41NvwcNf4XFTR
uRwkVjlGNT3G3md1eUJjvD47C5slp6ywe5RvytJf2NFvuH9wWZBKD6C3ILEBkRzYbo+bCZF27boE
dwCFv5Vtq39Pazfeaqqv3UAV8JBuRRoxiZnPrvhVsOgZhsHBJ1JAu1hWqE9OSi/FLniFYHQQXEhg
vv/xd2RJEqlsXAM28rs6PS2ZPKereuiq5FJsmbombiIuCFi7XYFjkc1II0kSFBPMKAjm3twmYtdP
850LRhENRxrU6dqw6iyyPYrn4jlZqWjjjh21N4zOsyO0d57MZgoHMrfwJxM1yf4nv4wrSPmdXXeC
EhQvGo+hDFzkaaGxIGOA7hbFpVLkoWVn5EkoM+f7Tu1oujBDpjWYK4mUBWUreBpBkLAFBbazpLkn
FpUBz1bX40m4WhxylvuoZ1H/BLronP22LRGMy6g1qSE2Z4I2acGvxKFS3lFJnH8kcLyLGLcU5obV
COHQG5c0af0PUzYgZeJVfEes6gR+m5TnZtnGvSDq8loiDArl7E/sMXLrh2d79neGec0LFXAOjD1D
aVnFd41qY7yIaZQvxdYWnJUSBz+7S2h5OCiuxO5soUnR9hsDFS20aMjAcob6D3G0Elk/sVctyUg6
lvvVjH+ZUPBKew1IcpOYQ4xvbT4aF2ud1K6ZiSMx1tI9Ldbow2+f/dd7lNO+StocLSwF7ORWdtjb
wmO33zyYKaBdwPV7hbA1tR26SFO/5NNSUCdU3U+hKrL+DAj9Di3+qbetCOy5cTbtDMKbmIfH+0j7
7PrFiyS4V3oY7i2ne6yt7625XEeISxuTXmtQn0U63yo0MpBal1fPzw8os+HSdlFciPu1pPD9iPts
V3egtPwPrRGITtnPjsFGUHYETSRelb7ky6gj1pQc7LNdPTjFbPEcIwT2veLiyZSgxsXZLsiXjdCV
Xhnpwjs6kCmDIk/LKDar7DQTjHu0p/HVtCtCHtaKTUhJg0dcW1vwcNTqZKLmiLZUF79tK78HGLlQ
FrO5Uvt85Iy0TAM8UG7v5VDC4PLJ56kLN77c3Y+hgSKRSTidPkaN3H3IiAXdeYu7x+IznbqyIHfD
PYkxvQhtRZutIWqJTL6hBB8eTMe137IcXdmuwxkYSmvlYiy01sTXxas3Bl4+ygM8vObdmP1yDzNy
PmwKSyLU+OaSQnZ6bVxCI6WJYhYApUeyIm6Z86Dbr2oBF6hhuYHy81DYcsCfzQb1GaqSAyOm5gTl
iFhBRup7q+jW62aBHlauZf62+XzshkZo7m61OADMvfY05Z73RPqmPMSQfmA4oPFM4HROUJAOTI8x
aMUmZx7JjwocHzw5ZGTW4q/PGiuvhXxNdYcBhv5xzqq7K8HkW4+IAbXm7Iczii10bax8UYc4e9Wo
Gc0AEsvJrq8JYtxlE18OXL0d1KczyF0ig/bA6p7WrDzpIfs1J+PXmnTEQJhNTSFutcj3pEraqBdI
abg2jWCWJbICyzBhWuqZeMcJVhTM1IibKyqEjAS4v9mZ9jMjYVQVOkLyxgvl6pDb9kvN1iOJwP6x
d7dIGuIiWUQC4l0P7TR9jtacoEey7eLUch28dsJcH+04/RxtwFNdbbzbmS9vOl+Gn4a0gR6gZqwK
yhaXBuJkt3RjlCjG6+Lb19rGNJEjz3PrRj20FioNBOcfHODJTpmtfLdRxjDkV+seYfW7duFj5srr
gq1LD9TQQdcAtqqHr9EEcDtxNe98F+EyunpG/1r9hex0Uml20rBK0ll/g8BKeSmR4bVTsmu5wA86
Js4ahXJZrR9GA1QDuCDM5TkmdLLEsvVKk02+tZNd83jKjr4YnuaupNSzs/Qp7e23vPbXACrmtAdf
R70Ih/IA5mUkZTs7LERKstyxSkZ5wnlcWJaTw0B6XQEOeA8tKrR6M1RdTegrUSr/nbzz6LUeybLr
XxE0FhPBIIOmoe7B9fZ5PyHe50gGvQ/y12vdrkZXqYAeaKCBIBSQQCHz5cvvXpoT++y99snNLhaw
t3pKU27H8nnQxc0te4rCDoNzN9D5EhqqgYcBH35lFy90kJoPbJknDXMTjBsL06I2B/AaZt/XKY2T
uZmrY9pj4IKezcrOTqiCx/P60Cxj/BVnNnWzvvPNkf/FafP19EC70mA3v3x0rpcp5fiHLy46JihD
29KMFwv79ar0vGXH1jI4uJI+lnIa7uMCuWUYqvrNAeB6oKN1iIlVB87Wrmu9Kvux3TT1DGPURzHj
2BDtsCJ5z/SQ0E0rFnOtFtegZUqvOXqeHjYtoZhNGZqLdQtc3Bh5fFEi3tcgkbe+9OdwheEpfR2V
ce+4zrZymC+zR25VRySz8S2ieh0XjZ2Nn+0+us61jiSk6WVx4LTzO/2fGOuhi4RYYiL9jAU52UMz
rvdtWGdvVKhhGVftw+DQu0OtGQ3AjRdtsBhj6uI9z5xMLQhEzxuKpX7yBDVGC3PCvPgurm/KXo5L
TdSvmaZPVY1s5HmKH6EsulcAcSTIxgQymyYNiBEi5js7TMYJLn5cs69GF6opidD8c5GDCJWUCQpV
o375SF1wvmlBon3CPBKNb8BA3vRwUAkTSqrZEe2I37G6ZNT7VeCJHXDh2y7V2DmsqCvppp9pLZqI
WH21eur3wHDVrmLSZKDKhk2BX3qTLqKllcVnTcZzYc5tPHP+GF9Gbz6XSltvkcQ/pGuOHtvOsu2X
UCnCmZJCXiwrVaEvpmMk86PaPuCpEGfWa5A12TTjqzCz59/5ZHbPUQwBjx9xtgLm54WzvHxLqdk7
sh6m3y+pGR2pG79MLQem0nLEI+nB+J4SPmffJK3eEzphALK9xt7GNKjSBlQX6sLGd9My/Dl2KNuV
RqW4hK2Sz0Mh41M+S/nCg7+8Hzwn2Y84b0r6rohiSrg5zc4IOqdIjdVsjpOm5tXHQhNmKks+1Qwo
YdUsk+/A43mxSvGVvEo7AKwGpceHXP2gm4qgvHF/R9DFfggqBxOSIU70K8rT4oUx5FOHKoO83z7K
oXuhbGvcjDfBa1imQ7/M9S5jdj4bI7hcFcJX4JXjwVhL+V0rkLFBDbeyjiOxHaueqwh5EMNZtjyI
YST0K/Kewluad3dLdqvZhum6lh701ptZrEp1fRdgDF/XjfH3fdK/jnNS8OG376ndNOs2LWjwlcq7
W/o4fZqtrvly44CuRhH5095Rg9usB9eh61FxsImjlyQJwyN+SMadoWK7OpxZ72seeEafZun/SRn/
Vw5p+w0cSsGTwJDXGocgfLHzgpdJh2WQUBEMJSD4D1QNPXgx7VmJz+Kedql6V/XyZ5kEXIwqda6m
YDZusc3hyput7xHyzzaqwq+wt4MDEV/CzipwQa3jMSpDPLSsiHJ9NKO0D7x1ORrLU8rU9KpzGx6A
zeWH/QvztgmsAwc7siVt/tinHtRgFlM7rGwXm0G9C4ioOguq5HbEkHME52DdjbeOa76Pl6T2+HUU
T29cqlhWELDHzSDBEpctf/i8Bq3v3FtLIy424BCMxArQY4Bzwc6yEGXIy859aZ5s2XJzttSW+5ja
TjKiTMn07pny6mfBTbQSatoBLAihiuYvgJrv5h6nMNFmcDE0L8JAzOjKWKthEQfin/1OMuHwLEQa
JR+N6Qg0NFmtc4iB70ZNaF0uZrhs3EA8kG2wt69zaHm/KuWjWlZJSKi5hTUQUgxbcRlu5qBmVz8v
WY11vNTXPumih3ZZlhOsxoCOmT5fZ/QZqth79MACgFMOvzGjn3MTXwLU7r2raH9qZ+cxZC46p8mw
bhvSbEX7Ng/6Q41gGOuuTtZN5UOofoQzkGwWFizPLQVPa2lV+ZNDSfq56Sp4jrGXvCmpPRJbEyON
6SBqUKuEG9CHbFu7Wz+orX0BOjweHg27pustt3vS3GvfhYnwwud+zdjdt2gvg+IOiEt1sQfJXqyh
znkbkMvBwxTA1m6PNqEgshtqSfdQppkGU6YFiFwzr5Mix4UqlCuQHD1MrU0R8jUGhXzDRQtj1R9q
dQxMXv6Af4s3uh5kdeFfqk84kl5xSu8RCOWu4vl2hTRHrbs1GuvnkjGY8T6cHtNpGY8xuY9b8rQX
HyptLTq/C+dCx4J6M2U+rg0aOwXoQ9Ld81zoMD/BFfnyTDj+TPyecx2iQTiyFMoytZy7EqYM6q07
vKm+I0tnGW5jUKHjDZACswIXjp5XNPkyZuaAmV/oJu+OiakWHletGD8n4avXIbGTcp/76FQlrqUS
JdN1K6ZBmd/Hijog8tS0462WGLcfH0nq0hoi/fSVVp72yDqKMa4cZLrjRO1irSqgsHhVTaDAl7jm
QuJFH9ovfyYYT/Dy9z85ltP9BfZcb0Qjf+YMfCzcFgSrlaWRRLpBBOdR4qJi/8f/cLCV3XX2qoSR
UqgPqKTcS/xt0V0tx+t+OLlM/XUno2pXD6P6pRnId8voescgir0rW1Zzh1cdz8bITrglu7Or01w9
DpTYcLf7N3ds4/PtDYnnHCwratk/JYACAtY+KF00hnfO+JtPZ9iVvYGGgGHsQL7zyTNQL7AC2+Va
47pb64g0em955hllLdnB+CFZRbJrHZDm68mueYAu5kXDOfI9k2x8yDs/qqrpRwADGEc6K8eU2WOO
kaiyBxCuzn1OaxgRkSgABIeNjMyNx1RJYBsAo8+Lz6QQWaw9/X8lBe/Bd4kFlNhFpB+48OEUW+Fw
BPgg7/GvfIcdit4qZaZdDdP46dY9ZSZu3OBNXx5w7eEPq4twNYiFrqpEzmuvLxZCuB91usk6LLeO
xOKcUtm3Ghr7NYbHQv623Ycp7sdyJEtoYjrqBo3x0BjbX0V5SxJYcerwl/bAKTDZ3TzKTzR886wf
vC8T9cm81SU1pSIc26sOEL8MEtiTi1k1xxuk3BeWTQsRbx09Am5Od6SKzGfU27/zBdEhCyP3vmzb
4q1MeXdUGfYvPwzTx2EKnf2oPHKKbdgklKTxYljWeonCc4osyakj08ATBtE/ESYoCjLiWNDXhRSY
UykNKzmWuvYmdngnq8xfR4tjns2c2YdUDePeNSEHtOq2VUuPFLyyOnWosLq9qX0OHluf6PC6xhBA
GKwRGI7qW0q4m1FTRjIgJFU3Op3GbaXqF05mTCm92+4DMvtXPelxV8ykA+dMfrF/i84MIrj0mSbX
RcOBZk4L76xws65HTVM7Du3xSuxZvfsWnRGxmHY6deZD1/f+Iavr9lwvdrrLaOl6SiY57lkyIHP2
9UT9K1NLQ3PEFD0no/EAyTf8UTRLQb8pyXpwPT7wqbrMB7TdgCfAOcV2je7sagEHsU5qssLlYvw/
81wW+Z7tC2dAtm4GGmNIFp0Klk2GlvoSL+5w7wz1g3XzGqPmXRvTe0c393W4Ep6qyIPEiHGNUAv/
QDsSXKnpaw0hYgIWJHk3eaxU/MoZfuVYB7DP59HBiWl9X1VdLfc2g8LZFeaQF3P/jZUQKEQ4WoTA
YlXSsFSkX7Ns9N4gIvDqYq++igubY5uJNvDsP4Srk33iplj6JzvBc+4i0yHusL8TG9fFOrdanMHb
TpnHSrG1x/O8AFYKmnL47GdnftAz70es3pgREw4GrVOd/VKR56s9AvUrdubM/82cpE99EzTIxbpz
cI/zhO4rijsyUiET12+h5leblNKvxSrSly5s/V9s4MKLGuCFD7f6B87b1P4FpCNow0ttkgPGqj4s
FrL3ld20dHmUNleFbW0EKJ2vKdSk6w3NkBLLp4cUzMzwEw2Uk4dsnPsYRNsWYxAwhqAEaOQ45gi1
KgQyZlxxjouUW1tTUThawMfL3vqMWtN+hcQnPQJlIyH61udtM2qlf0aIlRwT3Il0zGTrA54dEoHV
0LwjDH2myfJjMmHOa9xrXx2Z5Me0UdTp8jpNP2zOn+/9DCOAp5CYD1PLnM5ZgzCoFjeOFWeWTRym
xGkyUz4GM4Xr8GO8+x6E11bW+XRYCIyTZXGCfmeDgnF3ZU0cEOOujshVT721nnPwQ7cDToYssVv8
9pGNFwCDtIJ0AFvAHAiDhqwyrGBvNUY+Vq4YL77F5pWCFfcJk4e1XlD6Nwzt5iFXsXuQfR9/JH3p
vNIDDIHUwrXCtkdg5rBcUBzDTR+3sta+I9KC7iTaImDh1XdrmO6bKr11KADkG7cpJblwQuh4XdlT
vKHbVl4ocynXfSkx+ZSLJ+tNFfh6A+OQcJPf/dE2jQtQ4DEMdxo7Q5vly1Y69ouPtr9OhR3uPZ6m
4CXn4mLl8kHB7951MLVWknTa3dxS8bVKjfkx5k5DUCeYgkea+aaWIxI0CkGo4oklbfgMLtM8sMD2
fsggKc/WDG/ELcV40q1PhXIc5/SXVUnw7M5sGWen/8BB7JACGtrl6qQm2+Gkafe8SvG7UF59P8iC
wLmXXQwz10GHHcHHKXijHiYBJ4atd91gm3xt8Os8TKNRZiUGV7/RRsKOwAoWzE0pPWa1s1xbLoh1
meHwxfHpH7sk20PNIqdVpMiRURCctFJ3dZQVm8EpgkNJ7dERLYP4M8k87ggzncDjLo+LbtE3W98v
1lEwi4+obHF9OI7zbnnOE2SY19DU00PSgj3wI05xWQvirphUsimMfkzYE6a4oQ7Qa7l/wnCGsFuj
vOamvMsqjOLQ0o8O4+wjmFl0Aw5RF5IeuFQ5PDnX2g+rA7rfz6CrX1wxnyld2DCJqVPZFCxtRBAP
B02H2UfSNv6uy4sQ0pVbvNqDz4OrZyd9LHV5sitvOKMJ4AlxldmktmzecgJA16Ajnc0xGbh7y6Ia
46pHdzF+pWbdeEAT4ibWB2ml2DpuMY5CNPVuIqJNDG+YpcDVf0sYuCJ/5DE9EndxM7PlzVHt2EmK
8yDH33Vro/V0sTpE6YS0R266vuO5pdb4v2YqQoTLdjo2L2Mfm7ugjKbDLUHxhMUy3y5k2O7j0C6f
GoaLpwlUHjm8ov6c85Hi8WQw49kUolsnoR388ehueBs7MhMJuMsCRTpqMu78hcbuVIXvJTHVDbA+
VIMEtmRGAINiFZhDelLVsUh8SSOXl945ZYdQviS3CNnk9A9oA8nPfGKfDIaHylUHIRK7g+2dZ69z
P+xsMjzPlg7V0KjzsMxhC6jf5Pi2UvYJyg1/NlHonhhU4p+IhMwQ+iZFOY1+TDmEQ7lpBxq9+4+b
FPQuIlxZq7AS/ecSefINdSP9xJ+23KNtONs4JAq2tKH+nViu/TRTOHbEg52/RJqiGNYCHO8Bt4Ds
rP1nJWyxT4aGnu/AS57GmPU5VKohP/WJzv5UtjM+l7xeWczM0T0pAkWmlIK1Q9FTKW3pKDoNBHR3
DcXTDofnUjzk+Tx9IrN4V1ZW+TYg751xybvdPRsD97kYOIBb1Zw9Z5X1Q3dtsPNa3p9DHp0oxaVS
11HtfdwY+1uVI7Jixj1DSqgnlOenFsaglsKMZiHHR8HUCnlmfCKmxAAop6Hd5CV4qKVFyABjPZGD
k/YfqYPojEOHwoXaoqAaav+QPHgMBzuWcdB7SHHsp7YpuGw56nN0Ri1gGyWfpqqLnnQYVrSIMHuV
NAfydmXmUZylef06h7YA06ymJDt3WW5evQkw29zXLJ6snNCEZKwlCjdk76GuZ8RoPP0fowujYxXm
ekJ2QN9e8NXwiEqtbOcLGrc66S3fZZ16+wAY0LrrC2cdcuRch5pudrY78zNqWH9QimThtNy091oM
3R/MNfM6qGL1vBDLP460BsPOI/nEoSs81dnkoWmwieFWBW/nFuT4x85HV5g9eoSx5aVclmywycNQ
APNIQXqPM64fd0MYUbAXgiQN4hSrPKub5240NSfmTh2EC9V53QX2pDhUUmG8WB69hBDrXrOEz8Bz
O2eX5l51rMYpumv10N4TjcxopOa/P14wCq5IIQR85PZvHjjWdYzmrt96uRUAkMtznkH/A6+Y1lrm
8w4ejSIOHVS/VVNFIEKi/DPv55gVCpbhVy9n/6FwXz2MZaS/srAb75TD0gWdFjNsNkIbTFxd/n9f
iuCEEvj7f92IAIPuu/3HPoS//cB/+N+DvxzhKCVYsf27AR4Q8t/874HzF4dvGgJwtCtH8cb+T/+7
9P9SUrDesZFrbwjevzvgpfvXDXkdhJBZFAzy/zMLfOD9s/NciiBwWEuD4QctLBR/0n+ECjejl3e4
VJ19Hdnui47dZTPMsNUMkuyGFdOwH5viM8kKg+AWBJ8poB9q09TAjcNf3H2JYfCaVG72TsFGisty
8a52WPrR0Sw9ENxOtkQz09bz3uUyMbNOZe5doozt6yrrWRlk4eztY5Zu7yGe2z9L5ffvCRVy6E6O
7O893zIPvL+B8HbCoucF2iubPHky7Sifhm5qzm5XVqfZ7hgdbsSOeGRI39jU6TB8wLQ4132nzzoP
nY4uAbd8ydJoEccsdS0aHPlFa+XSI4mqOHrrhJTKq4EBuS+Upc5eWI1fTVpznNVWkJGX8WfoiyYQ
r5GaJ+Q+2JZn7VRs9fApscSN80X+CuOIRKeXUCDadibe4e/P7hapW3eluyG9iEL7LoIR0DjOvkXI
73baR6uushBZnHh7mLp6NxZ+eQX0mFHfg8SVrSQ1t7zm+3n4g6ZmPUX4580qT6Ppu7ZVwaMLZl2G
wWVu7hJzM+U3IijqXeS7nDniBLNHBz/j6PEaR3xipceCm/kHQ4qDEORXF0d16gg5hsNm4QpnV3DM
PMhBIdMa50/S3xyvXsI6BH+z2x60BZJ6VYWCyJPpBd9uMoRU0C8Bx8aOFyeHfBoe5l7Uu863ec1W
wt+NjtP+mvscqoGGJb0f8Hv8rDPS9nY/eieOAfFZJR3I7WCWrxNGiys4Ha14Pgs6hFUttLU17AlZ
brqcPdY0FaoTE/Z8QLgKefuXwLNUxipBVW5xmsfSv7ilnk6q78UjlCT/7Ghr2toehkcU7pyGPtU/
u8JNpkNFoOgxBahLnhZ3imRHi2oh8DHe15gj05WfBf0VHBrdUg0LV8rQ4H5D+xiOQ7fIYlVOfKQQ
WZCjbCtkcomHif61cDQX0EfPhViirxCcxcnK3Bt4BlXCt+b8EMtW8jFVdnjHlFNRbEeYj2PwCI1p
XXYBebws1LzQvYpd9c6OJnS2oFucY4eHkTnGoxg9ncf2yapYVwazBpWZWhtA6181plsiJVWxQTmz
3hq3NSg81UmYgVLmIao2anbvewgthijPjlYibLet+x5R6lcMsqNJ029JoPjJxRXBhJTQ/MQR2twV
XvvctPWfMO2I5jrZNg+HflXXuH8XapQhfG18PDhrG9IRUpjHRsYbivsITAyhf5/T9G6SMis3DZ4n
bImGzF3VLXsjZr+nxJFxr/Wa9SQcRFy3SDBpLX1xQfLyttyG42sZuuXVEkmOtgBTNXfhgTz2Hm5u
eI95CxtLWPQbxpYJvgbMEZz9g95COe7j5CcyuxAbniYYAmkY6UPaw0yS7J2BD4fFSk5xJ6IL/5H8
EH6Myol77GzORMJ5Uj198lPgZ79Spxx2g62t3S3hwmXRw4sulLsXo0vxa9zQMgz8cT1OeBeLGBM5
tfBR9Orz0d7C/TSd1CrbBfhQQO0iNqUrkSMxQo8eAM7qBUhvKp4D3cIsshvsEDJtx3MhJd4kP8oe
IhlEO6Gr9A80AqYEnEXolUsv5t3EgL0lfDMZ3LtAHEtnHD7JgotDk3kTLrMlSw9zBH92qLIYb1/n
y2tLfc3KyUiJ4phqP1wJQSVqZzba0RTvirrqtzkt088it9sPKx+yk180c7ORRJo5t4PJ4fPvHrRm
RQfXxR1+xMj1zNzhYYnVmVGWnlmR5R+tjDsOa+YwLJn1PNRjRugmyJ7mtME634nlXlpZsQ/K0nlo
yksNb6cYR5CwPckmclbjKy0HN/rYRM6ITpYGmnBt3YmuFPXZ4Wq6n8DSXthZ63GdDaF9cqf8MwrD
/pP+meytSYfqysecPRbZ4n71WBRoeUPlYouNDeA+Ttix0yzhUl8VL2S8B3zSE/bSdYfpBefXAsd5
gsW/hdlxzufFXSdQKZqVNS7n1iK8zXjLV7dMWb7Ll2J5juB4tGv8pdl7gL9/O9cwrYrEdU5+foNV
DflSrwll6l9UlWOIGwe+pMJS6TOdWlxlt9/tg+l56MtU7sgBzQcJU++nPdGx7EUxjz52MPPaKfMS
vpdteoAfnHMuRKlvAII432O82qNvNjub4NOO3db0lIQdFbq9FVf7ACT+MVzmeE9Nb71Ooyh/t8ph
ecVHLC8LofRsBRhDnuCnNZS5JI59jIXzCz9rthH2lP1QCWTw7YKx4NWw0YQMyehRbsKm9S9QafRV
Bt0crDqerfi9vp0OSxc+V32Hrz++dzjusltdohhRYgqzr4nnqV7DaXCs7RyX1SMjst0fpyZdXira
65HnqmI4ia71yF1k46vRYEkgIi/7NOoAw8XsBPywi3/7Qx/vYM+y/p4lQubcuXgZ3Ck0zNiOfEOR
mV44eUzfkfFTHrpy1D4AElG6K1+r+tWfdf47d3KiXA4FlVSeanKsvf2ZaCm9Q6vRBSF/3Xh94c5Q
cMypj83nggL3EUbxj5uxjFsrgOQWYlOVOI1GKz6Ujf0sFr7nWVfTaW6iOxazzQpSoSaFMoHx5cwk
n7OWm+QwhKk6m1J7zyPKzcrqBrnXZdgT3dMMHciC3Y+a/nUMrXxRs2yPsrbUHqzjTMkBoRd4PTqn
ckBOj3HENT3MgldrgXscCPr0SrtJvrNx5K2D0qaZyHfNa1Yv1sbL4E1leUk5W5ezaKyU9YIrbmtc
Gn1bIYNHsBDFXYtpa0XduH6351kex7YYtu0IIaJsdYYJoyu3MePWwfhl+OE54OYj26t+jZ00O3Sd
CZ6a583P7c3xSTiTwUR2B0DNCdyQgQDNmDRfIQz+s0Gt+eOzE1jXkYKoCRupwIp/KmVj/5hL8uQs
9QIZrc3Ysb+fRys950UEwiBE+vgTRWK6LGwB0o0pLO8OswoPEpSXH9TJSbxrXXCOI6vfA8BKH7yZ
OcomY7/ze1qPFu3XVxKDt7g0gBY7AivedOZX4S2EFOvmbgicHjMYVZ+zbTEOkEXHLYFoh/eCBoJh
ujB0phsdlu59PkqMjTWP9UpYLnvmDM9sepn75Efozr9qOMpYxLpdUfUV3Tpx6j9VdY2Pq6kF8N3G
As00FrQ0sM14KWBP4NSZTZmuxTQAM1Nhs5x9r592JPasp0DMjvicAEn6J3LxhMg8yHM78qruH4as
CnYXNrQ3XlLN3kysjHw1xc0JNDCzXxtk4S/MDLaNtsDbqHNHvES58jfuMixX0VkgNrR6YpicTzT9
JStHdNhy2jRkmrvZu4JC0y5LRzYFjhMr7pcc5MKh6Dgflzmu/anXZ0fV3h1PhH6rmri4eLEc21VB
9u0DL6FzkQWYnDVz5nLX9sEtqS4a/zNnsn6GxtFeuF/VwOzVz7u2mcfHzGrAQc0++3rXstFPaq9c
5DZiwt2gydgtu+4yf15IQ+LkJBv2yc65uDhdhtcAi6e6c6Deb7KsQW5iWC0kAFGvesBuQlNhV3QR
jQBE3El8NfRSbeNFUPGbQWV6F1kCVrYGtL5KhGudYp8Rg/ziscry4m4E8Zlv+q64ytHzHyHZuQ4D
mMNuVmMc+kVJlv0DskBAHiLzP9k7D8cAWMqwYiuKI7aIkyxBywcAgFk9cMJNOZgSHwPbM+JeU/BC
d3LSAx9q562hIYwC4CrYuY3aQ7YFr1HVCOkWmuB61pSI89T6RvCAC0YNAeZwN9nnAXZ8k4Kqk/ED
hUEA48b4EJUVlFAdEYJBsxZ1cgsk3S00BtE9WRebnGDns5ha8MisJfYR9eKbTETOGnTP3rodMVCK
D3wQy3qiRRraBS7RDLN/+UdgNNuksXWQniHHnDFwc0TOVil5501YJe9hO2HbS+KXHhwxELv41WLs
WHEcxCqi+3tO52CDp+Dq3KgpBUZfJ8UjxmHkBwVbl0xpeDCKvs4w5d0g4q++kucYZ8hKda3c9IPv
bZYJtGpWJf3Rz26F8hNAJeVFC1UnEK2xp/XrDG2QEmiSZF44QRfN212Ry43IzXcxQmsZkkPPCnUD
ivR+QWV+mKBfw+gTC/lb2gxqJ4JYAgsK0+zc0nERSuekyy5+iuogA1CH8BtTcrJtxDDcMEg3Zawm
PwzkL2MohZexN7YiSAGiCYRans0O+vAQkLcFMH7xcJfAZcj5fIOWrBlkHuKhjjseXMuP3gZbDh8w
Ili5JEnOgUX3uNNMB/Rus8hxfMyFLpKtF9fhW+4W5psNZXTuvGVShxb+CgON+oinmmBeb6mQhObC
AQdfuZ0+UQNt8HA4znKojTArXhziPS67/LkXcT2trNb1xJ4qlO7k+37PDBrAVCImUL8DKnt2Zi5F
0QcvfZ+pMw+YbFWkdXAwefNNgtcBsIaA1xsNdqcLsV6L8becB0rim0gEd/HgBAfOWMBOElHnn3MQ
eDf1r4FfTNnJF3dWSpNfDbi/KJJ94Rlvb2Ze1Yr821EmYYy5VJpDH6ASrILEDrepbOuzTbNvzVNI
TG8xyJ1PahnSfQoqpdwWfue/Bgwu4E28gjrdiCjV8f8KYOLKqopmsD/9/14v+m//86f5l58VZAyC
Vf2//b+EoXDUrcryv5bfDt/t/F1+/6MAZ//tZ/6mwPmIaaEvhO8rG65XcCsd/Q8CBUWlnuMJYfMr
qBUVf1fgHPFXgPTmURbq+8Qm/oFBgTjn0UANb0Wivt3+zr9/uH9vkqPKlQ/77///v8HEfKjSsu/+
9b9D1vkn9AMErxBXpuK3iAACxD8JcJktE5ll+In0aAX3PpZWTNrwZndELzU56n74VMQGjyU+5GwV
NhFDMx4a8pzNeEACC4+a7pbn0OXfQThEh28Vs8eHnEr/blmE+5qqqLtOLKuhDzv6R5VaDt6e2BxL
/nrwCoXwHYiQlzK8M/dXZhbM3F0z9HdED+UL1ETulNQqSrwKNUfDwMtfZG5PG1pW5ek2/j90jZMx
RuLz7hOvwLNFeglqmX4rAgXJ2AqiN94R+qp1sUsRg4gNAK8ClsutNVJjpnVPw7GP/K2yQK4dzZGi
yoNorWJFp28JIR8LjVPu046oi2syuuGbIds6gQGu1YNYHtm03w12EG5Q6DdBomAkpZ64MN/XV7jd
1snkwoVRl4x3LoC03Qho8XnsRX+tel7Z2vdKgmJud4zzziZZ24xPecnznwgH+5acjVY2qLuIMsc7
rzHjvjFD+Gm35Edpfh95r0u2QLLJ7vPcaQ/qNjn0bT2v8qFfvsMC9hoTMd7OvBqAvt3IQoufU//d
o2+4QCeirP5Tln1NFxh4hHRtiozlUW/it36Mp485ibqXMBqi3zY9cAAdA4zXEDvozVzPAm/ZkaUb
rT0pcPIbmNSlvZxBCwlr8c2XnpuJtFnkpg9lQMlNGhTmHFqJ2bY1C25mtwXAfjWE4WamxAVYp+VY
wdrCaVvh21tINI5DQVrasJwcbfaZoiJY0YJ3vdDyY6HEqOYZdnm+cRt6VcDg/sFxXT4uSV+dMNk5
1wzDCUGksn832ou3XRAO7/6o0zdG3njTNdaT9HR91uMk/+CDV6uC9RK95EODyVbHs3mUUv9KkuCL
ZU90rdsFjwkJnTMdYWozTJikV72uKLCKeof3pe9DPR0paXxKKqqqCDnPJzbg/j3lN3tatV4NySm4
dn48XkbAJ99tN7CwAmp+iNOAYNdcZxAC862MTXSorA47hrM43uMUUls/9dMM2ckzpyZO1GfitB5I
hmW0PqhGSd/iOs+OZTZNX3QQiO8pwgufcMLaVF0QnCen6TZpCObdU4+psZsnZzTFOhzy8ZtVZ/Om
DC7tthqcz3qs4+MyjM4M2imCN15x8r+6Bcot9YRNfRd3KvQ437vxmQoo1vJ+W98rk3IICer6PQKj
wyKxEMOBxlH4dgIS3U5HOQgAMWtkCBaj5LjseJ3xdLhnU8GLzyRAQhNR3EIm0p7eKA72T5ynZ0i1
VnWFv4sI3Gt5n2JBvNblYG8xVrenbvRbe4XNghohr669awZnf9xGxDR+E1G2fwfeTHjFU80Vkhi5
DpoXFpu8Ft6ukfBBQ4qsQ5hkgTy9pm1SNnsMqCKnDn7I/E04UzlYEFaE9uBodW6c23w1QJW4SsK5
2yqH7zREDc9BdghCbWq3DAIq2aFE9o4P+Au4T3DXo6BhROJR/Om7coGJYryZ6V61+JPmJbaizZgj
7uFt8UhXtazlLhhCSUC5CcFxDowYa62x/AVh2DNM37H8cltl1Kqsu+TTUDHiUpKWsVn2Qfyhx+dy
8D9nQNMTAr0TvNqCI0XW2NNHI+RSnlJ0IAD77IKP1iRUue9htdhrDvrWj7j6X+ydx3LsStpd30Vj
oQPeDDQp71l0RTNB0MLbRCIBPP2/cLpDcbuj1ZLm//Cac0gWgczP7L02oV+sWmrvVbKb8NdB7gMu
nXsCqxrnQ1uFIwcj47VkqaGp3qAlGOXWN/W5fDYD7c2Nh9ykmkUCuGBLMgxn1/UKfYemsQa0jW/j
onJC5dYk/BJlTJQishShqbTdjszi2NiYTvUIFZKKSsE2xWEctuJTbycQ8FK6bow20DG7xzrWtaPX
TsUGT3fXAr2JGUunDWtaPUIkjQg2k28JzgbC7/Di0elLZeMyEbBfM6m5SCyEE6IIz42U6S1EE3pa
MuaYurh7w+iYgAsUMb+t5pYv6FMF9Dkx5kv2UQxPsqHJH5LMC1+QMYpzHti/ZKG0BJAEDzbuAvDU
qI7oFPLK3Ui9CA7SkcP7SIAfggzZu+82xqqZj5aNe92NsMsl5F9uI6P3HkIg3/41ykKo/qNdGJB9
SYnaBCmJXuvWi7ttlgedDfd+dBVtTpE+s9UYjnhPo5tuJ0QPyNwWK6pVXTHhaNWP4XOrWIEaOgIY
SBKNwSmctawX8Bxsg1ibrpDOXtNy3vuWF+G1Zir0hOw8O6rCI2gSzzQPYEU46bhlnNxvQyMyniWt
xzkrHCNaZZqeJuvSLdGZe8Am6Ax8YCS2sEtMtbDvFoLB34EY4uaFyXVh7xMUaQCXPZQ5Sxh/OZ4z
HS9JVvKL06wcOaGmC75Bp4/y70broSHgbZ0ukCp4YzpygF/gvckjZ6jxoRvd+MKuDs92aUMuCr0p
5ewtLXup+KsZ0FeDfAv48/eipx1axFkAS9dxtLcGyDyWWNZsRYlJz0DGtA2TMrhF00B0QR3k97Y1
RBj7BsRtcWcVZysnpXZRhXyyHLrdHaYoujZGEN2t7+2RfMLEqt61rKr3aCEY6DZWbT06CR5oPGSZ
9kkoF4QRH/osxkQi22yyOnxKBRYa+UcCqbvean1P3Ai6wAAVfFK1zTYFJvjaFS2jh1Ivf7wYCOWL
gZ2OCNFReQ8pDKVo4ykGFm2fohEmtSC7BrGBK6hDtAJ9KiIDJETaQNRSGt+rLmZYgZwMGIBKVmj7
8k9+V3Q70+DXNyU6boEe1LRtG9ND1sYAYTOwBu2CNcO8IiKa+V7zMkYVZqPptzqd3S+TtL1TD8kf
ZQdc1GjXJW0gsV6ZTAYy6UbdKoydjgSEjK+uPFMkSzOLw1cgXlgx4ZIDjsj5VAn6qW9SDO59p5KA
EI2E33valuKKkGg6T4POiar7tniQBh4x5UOlBDWrm4hbDDwtKkqKfTIb2EGRWM3S5objyXBGb6el
0tgYlSEBbvRZsk4nHcODZ8TYQ9M2vXPpdg30xaX5gduhumlNgEIdgb5+cduBTyTIs+ak6wOfUG3X
yc4YIv8jS3LrCyQb31aEovOGr1fx+cYjWnLbi77oDtHS5zK4YXirtvHUaBx+nXnJJis956NDyCvB
r9M2Vamz46YF5Vq4BiucImVHRYifCE4h1JDjYHfAXVmydAQEJbF4JxciRsdVCus3r4PiJ0QadHBC
LfpkBzBCuhZTcGIOfYl9S9+PcKLHxX83jWWXdOPTWP/8r//x8V0k5SoRXZt8df/UAKLW8szgP/aN
5wR2x0fx7//Y31vHwPobrZ+JnR827twC/r1vDMy/mR4ONpve0LfonIgp/ge5EHmGbc2ZJbqOscLw
HHCH/2AXmsbfAtuFhciBZ/BnSY7/l0bxPzWOxhyF/Bdk4BwFTVdmoQ7xDGNWp/2zcGNArVdivO93
hFkSNAEzd6sc8k/b1LhYrQj2Sdi/URAPCwcTtRm64TlyOGT+0mpf//71/tq/gov6N9+HiVjF8Twe
foY6//x9WEGkVUYV9js3E/kOdNLGtrINkCxXnuL4aINtcK9hMcPwGO2PsxkKlM85jWGBNq31JBuP
UJPdJG4Qvy29ZDPP8i1h3UqYob9SrnesDcz0qgdk5HT3I5gv0uSAhbONX+nyWYn0NDqsXEJwhIW4
Dtlwp7LwYFq1BGq7CUXxYhdYKNMa5KGTPcnEaiEoRB82zjAiDMgvAc811As9akHR8IVW6CpHm2Ib
D239ZI04TMMRho11pbCwZvFmTBA1tQhi3dilLUctiHMuAs08uCd0CcbGiaPlaJ4rrYIegwbcf9Gy
CRZ2+ti44iDYeJqWR/eMDSbDO+s1j8PgvPkILACpZJfAtlEJRz14M7vydwRzvnDYXQDTHtzB+ani
ZOfr75rQn0lgWESdd0Y6+OCGxtbsqrUxaCu26s2ChS/hJYFJakG2xtT6WeX9d9JYLvtWC7t/5v6a
gNv2wjHjfQHJgKWwbFY4T0g3VWfNlwIsIbt1ZdCWj+4joKh9qz8IovhckDordvyPzRBdDZprrO4p
nxZXI+ZyKOKrzlWHJrWeC5+hJJuNhSsem3L4JY5zPwj9bWJeNtY6976qmSUmm9FJjkjrnU0x0CyG
AKi84JnHCw/7hpBDVnXwQVYDiu9R7y9U6q8hkbc9CuOWrB4m5/IZDcDKML6rorgIvT8iNqfslNGq
Gia1MDrHWreMh+EWrYKhe09BeZt2Ny30IX9lQbqAf/icFLq+wDH5XTU49HGL0raxuDB1bV2k3Zfe
wUMPdcrUcTx0yMkBuS+dPn5JC+PJLl489iJ3KZKal34qEEPa9+HQ9/jnGI63bqT2tumuaAtwOQTo
0ctdF2evpLX8ZPRW43RXO8/CphUxGvZGZo0BuPPgbbEFrKP0xTZKtZOgkpH1XqeQS33ADes6m96x
7uzxvvXrswdoR7QxoXb2WBGDKnZSUg1KN752Q5izfut2hOmRxtMNziopnWznx9c+Mk4l9qs22IsS
zwwJLjM97prgnlhE4fBST0DmMveT1Jt1ioprkWlGe24Co+XNyXLInWyzhw7xa/Lp5P6mya4kQy1V
bdxDvyB70d7k+nRDkbRj4bVoO2QZwOBfNEyJiES3PBoe2HWz2Fvwohe9octl2LuXCgdHbHp3pTk9
J71JPBztVEIPs8zgMboTsWOjRcsx3FG2bJFyLEt2W8ee+HGIml9ub1+NMJ1fJ/MOpZIi5MW5S4KI
GIrgvcyafSKd7yoz9ohK70eg/gQJVMWGTSe5SOwIidNMN5U3wK5q0wfGqwhVQ/0usjxqa+PaYpDS
hc4nz4Q5wsPs18mZe0ut3NBCeMtWkQUpw3vXuYLpvAeC3yzGsn5K/HLbxyHTFicG0SPqT1JCV/bo
3gqwBi7/YmWmqP+Fk63GoUKX3pJL2N4x2X6TrCN3rIPAIXr+bVLjIwZacgyC8+B1xwpmEpF2TzpM
qMlq3oh4fzc73HpVeNJH+YZG/CUbvQJkAj8Hzt9Rq9jRjuvJS8yH0dYeAp+Phy4Hr0R5wH7IJiGj
OG6wbGH/a9Od56s9pf3ONK3thP7HQqUBGvPDjyi0FLBZkpnNcxPy5pezsdxo/B+qsNvgwDyoMnvd
MEGhg69R2ufgrS32o8Iod/4UfJiSyU8jcNIEHSxvdiZLM9WezcrCYz+iy23bSwfSpwnKz9HzmrVd
SKyohfhIGRP0vIcQ5dVbH4TXUvOfNLKA9b5Df4eBTqQe/MU2O5sVk5XI/mnAy+MsifKVkYjTxMeq
heE5m5dJGdZDu8LCObZFOif4+sDwIwffULi29OzIq7fvDOb/2DOvbd0jKIgjMr9T7WzTxi+TKPlu
q3orpvxB73IQWTDzRC63jcfzgDQp9gjidD289NYeGsRBCUWI5wGBAjRyP2HsREc8huzF4I1kzyFU
Laad22wkzpkgDFS/GZO4cNPF4bZu3VVdvceivGDEfelbYz/kAYh8+0jPsFM9MkCLBO6gh2zpQ2lJ
iJLK0o4+9hFVD7owGxw62VTdy1gwGFM5lB7BXskgv7m7M1W/yyaGYF6wTbowWzki3E1aPK2Gvn1y
w+6jzSQIIoazB7dF2tKunJw9Jcq3MjB3Kpc4wU/DZKErpHYmWvFem6wzE8VNXw+wHFJeec3xrs4Q
/9QYOLAFVp5+Fw+/BZB9FqUbdFDIDKzfLqyatSXTlcxxrpHa06vkF/THdxzZd5bbXSy33ZFG/qSP
aq0zg1g4bfDqp1Bi5G+HZBoz2XVicCqc9kI8DS9h9corcmtGSJv5e+9nbwgU3iOkEkjrT1KXdygM
Mek4HC9hfHY4tIhYuWf+efAUTlnWX2NdkCBVECmq5atRsz8Dr7n0MAGrYTwDWi9WXQqGLsCUT1yN
MuSHnORrnAbr3IEeYqRfU1t+Fn9CHM5+DXlogK7jYDdy4/osAAQWOQr5FKkY0vviYHEowNeyOZbl
RANckFEoWYoVW2Wdp9TfK8zITPV/er9fWzkiBwiiPM3d1h1WeY8rKs70czUPOfKgOUV2dt+i7ICc
+SDxIMcR0+Wie4vPZX4yxXNqZ4zctQ3hg5c6FTtDkXxp9cnNSzwQV2zTS8IOVHr1MCFKb5sPCCkL
8W0HwzEmnYYhgQvx62QXprGYW8qArKBI5EcQKEz+3RvWuM+gkeG6w5azIJns5jQauT5ZN0F4LRAS
ufa9mthUuzFCQaYocypblWwrAK6KVO6MbKasY1ZW2s6V1K23KB2/zFC+iD7fohcoFp7d3tpsBvWm
t9QjmQ8wDlGE24g0CnfCVkN4PAdvFvpLyykemhphRyig0QM8hqZmRudeOQGr5+EUBDzq4PwD9ZvH
5PMk910THFQRXMMuuUvFQUtGyI3ecngYJtg9YhMTFk5sJTxxsx3Q+MXcH8la0+WD5CpajWSR4EeZ
gmc2CS+R0h8SqXMe+NskQq+cbTvL2YGTBgFN7kIrT4Ne3PfGFdXOmiFNPyXvaCCZxZBYXknsB+mn
Ut0OuNEpqUEEYck7DAHpaapxf4PyFvNukv53UGSGpW21C2GgMYDdgCRJDOwZuf+EOHBDbt5HgqlX
1wO5cmZGkE/9IDXvJeuAgI7NrZmIYSMyVJpH+J1LfNWoNilJh9A9NIX7CLOnd9ZRNdpqCcC5CZgC
uUTnFMVzhJh3WbIDOARecZIYgCktxXTwwjI7175bfGlOHMAdn6p9GFpAfvU26F4xGVW3pptgz+Ap
XvZYHn7JMvOvQar7ONqs/rtXFWBzts5bx0npHSY3JJIRjbLpOwg9Uet/uWUe3/sW2lu9idgdcNiD
JTPB4FRe4IM7LYKHqbf4JLUufkfipXZ5UoNaTTWHcXcdkU8f+DhiYyQe69wqeWHzBH7dGO2I09N/
+JL+l5dP06dWuPoOe2q3DfXUeKzc1toY+Bbv/HhsD3qZFkdd89pH+j3qYwqzYdEzULlvisx68vmO
Wes33C1prBAbi5pkRjvaS200N9CfuOMmbViBuPP3UaOhlCj6PNgCJmrOZZVCiU1IbkTZMe21oBbz
qDw85K0Uh0B6PWwv/FhEWwZ87pVbnzsbqiPE9HPlI35bQJlOHyu/84ig1scvQkAa4lTdcBO54EXt
YareBgu7Y0payjONDu+PL6Li009diTDUcsiI7+P0zu475wmZQPyAsWG8FyqoL4ZqnYfeToc7hPDx
cbRvPXsfEGuY46dueAgrw37WbHvsCSYeicLxNbUZGnz19jTk92BBJAlHkwcDKe4IeU68XcHu8wgU
f/hEKlteUT9gSjM6QfKeke6LZKzpIRlIBRHS9xhD1sYYy2gbUdcvXKuG0IZ9YWGFJrlcdlpsgziq
t8XcYM9hPiOyH9avWU5kEslxzosloZjChC3e4dqbl3qQ1s4G7nrUINJyppCFW+TJtRreB7AfMPcJ
ke/y8c40R27Suhj7R8GTORqka42kAlYGgOpm+nJwEtDxCskOI+yfQs199kvib5rszcX9aDvFPsY7
j+QKSGWX7DR3ODbwWGGXumvHc5YahomVrUGfG7l/de9VabDexlRfkqrx7eZcZmb6AbqF9Cg8t8Td
YlVcw9JTXAw4H/GHQbi5+JGtb5mqvrCDeCLLd5+gr8htuWL0uIxTi+8Yf0h2MfX2ZhjA7mpNvE4T
A7uRIMI1yvan3u6fQ80ggx5+lMZJlMSEOQ3aPvLHOz+J+n0NBHnlaEjgirLHGDqZd1Dy0N7bgIeI
AWfJc0a/hQSd7XEmMA1Ik/0trJdSaOYK0JN8kTGBhpU4BjEa8sDfRHn5CwLj7xkf/8dlvTUHYPxl
6OLbcLpn3w29poPGVA/+Zeji+ikVk+MqBoYvtPnJcRrkcDeo2gSInI8H3S2by1BF0z3nU/ygEtd5
IjUuvWvJMGTqCFHm1c/64tP786pk81szzu+PM79J8fxOZfPb1czvmfHnjZvfPbyI2SO0RAYoFa8m
s1wDextv6zi/t/n8Bod/XuYhssRB5hlCs5B3fZzfesig9az1j9ZFMTXnArTalr0L4tAwCv19Gmbj
CqFneGX5Z27q+Wwx5lNmms+bKOTk0TvAro2trCfPGTmXDKSai4gw7Eck5+JRr0Rx9E23PdRTy4R4
ohsL5pPODB3OvPn0c+dz0JlPRBTGxo85n5Lt2CX7uIZhV7N7yv4cpnI+VzV4i2sUPxy2Mg/Ubsz8
+L2sqTNqfWSVk2bBOrbM7NZbMQ2DUhzfsEbdYzOq+N4OKuMLYeawRl6A9pxAevfPJQAAy9iq+WYQ
8x0RzrdFNd8baRKMv/p8l7TzrcI8p7oZ802DXIxLh99mtQe7E6yb+U7y59tJzPdU6OXgWIfqVM13
WDzfZgbXGmsVZu/+JKZvhoRHcrqCdtEAXrqpll0B2R7dLE7IzZfR8Rhq4QEY35AgR7w1lp9u6ogB
VMazuSbXgp1VQQGHbdFcWHihPZGXlxijFb59M76wH+bf582mpmnbuSj52Ce0XvhhF46sdpWvTzQ3
VWdsBA61dpV0f76iBdpl6RU+i5wh1LySh6mM46XAcXutUBZ/+I1pHouUQ2LrKp9+FZoflULRaaVa
eK6dfVp6fY9XH8FmzTaz2cQhQt2WbmEpGw3/dF+46Do6FFMgWLE6N81DTLe5U5r91rIBAlXQ00lM
1JXAg29jTsISW/51oIVPado85R2UrnkHuUJfUVyUXnZrn4b9hybmRfN152whV1iL2n7umbUDWTDR
xBBRygkb+wAPo/zBV6528nHQr7noBQC8LEHdjbPFxRB2iF33iRy6Jx/H/DFtggwuFmW2LPRDZBnA
//p4iDfu0M/qXTDXveUSAakzKzESpDCQ7PJmiqmKM7lmZXrCaKwTjsb/rngwlmx+Xx1pVIfSwUfF
os5eZhCCts2IEdboAwKlUAH6aJrJfSO+PIZ1t2GYylhFbz9yiQcpYKCouwNOO0M919Vwq7D0Pyqt
ph3z83hrS4l1JAKocorJql3lGfL9DpUO4mXDIGbUrTe+N7HTsnux6U3etcpnrgkUnQ4sIusVm/G7
KntvPxpZ8ppM5btj5FQQTt3CN/K7bRFY7ZbgUMljBRIAZzC+IYOYzK5mWzuGEylrWIsJlHZsbseg
oLSoddr5q9OMYKkQLdAU0/LHfljdqrDjNzzOG965HxBB/8Sfc/aRxWYTd5BlPwsf0kbVOSGq9YDo
E67dcxV630YtiqfMhNTiDxwoyJG+6WJ+U8t9ilnHLAcj8RamFtmXeg4/qdAM09jE3wK1PFZ6wdXe
CFIYp5KIgzH5RJr+ihOE+Phzh53f7Uw8v6V3nYyKjJys/HXF9DCiMKcUJm4CD3NuLTTfI6IHdvlF
tGa/spD704nQePSlz2VV2e3jrI55Zr8o6F6Nr6GCEeI06bPX5juj5eBi/6/ojOHauJERnyLPOo6e
YsNl8X4NLZdEpVEOMJC+9KEDdxZXXrNLur4iWkGLdxHUm9fUn5vMyBo305BB9hyEhx867frpPQSC
sbICO156UMKXtsPQi4VU/UGUi7WPNFc/xpBN9nmHDz1EJ3HtRVhe2UoNnyHnzxHkgbcb5oqqn2ur
Zq6yrLneUn8qr7kGM7XOQ6kAGSD8U51x4trP/lyytXPxJvnE/3uN9f+0xsJiSYnxH7SPSfHxFX/k
/zaF6+9/+B8iyOBvuu5jGMYPQx9hz5XNP0SQDvJIVJF0zLQWXjD/l38ssyzrb+y+4E94LvHJJnLI
/73MQh9ped5sQ2br6v35T/8fyyzT4m/6S2Hl2WzrjMDAuo/h2TJMe952fX08JGWEaNL4nyaNEkq0
OQAnDNn4eYL0KhFoqM/wsn7ZHRubVI+Dm2ocf+tqCrCmHXYrT6UcFG5jfqNGKXdoJ8wVgRJ3sgiK
rQ2a4R3wNBTIyeWeHLqs+WqwouL/aMQyV2N0AQ86PPhBrG0qWXIDQ4Vpv4MyHLdDLLwHjDOJWiMj
tr9CGJ82wwU33vRasRkDeYbyzABDhz0mldvtaYX36PLZaRgldPg6IDYHD0sdRPIVZHHwnWmutBCC
jeG21UK5sUqDMPo8zYfvKLHDdwJx5GESqcnrP3RbohTjnWMH4xaCSLkVQ0PQspkDy0v8O5y/aj2C
tt5VsW6smlGiIGpsVD2YUK/KpSkN0oG5MkFGI6S9kuHZFCb1cw9n/SdpEvfc6Zp1aHz5NAk9wJwt
/KvlNbYB4KZP+FSrEElCAiQKzm7beuswFoyAxyKdlxmEfaKbz14F7qEDOszuUGbmVxsW5NxkSXJK
YjDCieeLx7yu4701Cvh+CKqdRZR5yWfsEV1lhhFOqETYpwi+ymc9oAXgLHO0357UxHOBMue1QmBx
5hfOz+l0PfcGyDZHty8KVSsoGSZkEJFzlJS6/zvYuDSQI8H+zDHEHJqsZs3A+h8HDxEIRHZKBJIY
gnjgbT4orXxkHpXiy0OKT2iY/goaFV2Imze7ACbgqqZknNWjYlebSbNSpNgCfphTESLWk33v9DUp
ZFZKhHp481GKrRywPwBo8m7RC8QY3RRbbwNSwp00ffKkbK+Yw6dgHbY+2w8XlMuiNVUBE0dAyPLM
lYk0aF048Q8euRABUlk7F8Po070EPcMvXT/VnV6cVDUF3/hqo+ehN/BbYS64jYOZH/w4dJ8U8UBo
WAYGe36vSVYwunmPSFcvGSVogLi5qYqF3Upie7kGgjlOx5BRvZF1al4miwiCVLkDHvJcUi2ZPLWJ
HuTPuReYbAfdbtpoBZ9ZkBr6SmtL+T6RhXvUfL9meoi7GjqQvxmV3lK0YmS052QEJP410/pbVgO3
QZ/UL1qixp12TFfKyeItcMry2SBP7hLz03VLBwvlWg+BirGVS6MLtK/oak0ETXaxNfu5cBxEmK1b
fSsshT8j1MelhN9FZeuUXz4+uACHgNbsyCyzN8C+fFCn2XWS1ZcwhgOcdIb6ulqZeqdt2kqdix6A
t4+FB8gIZUWjrSKjNPc1FXG2NGNX+78E/806gX899aD2cE4bDiGE9p/d+l9OvdBLPcAqHAdo4sx4
QWwvjoOacKeYx7GsTyjV5rxtEsFE+ZqDNozX7CTbiw2YDgxbSBYXHYv6DYtYrtgl58eA4NFimWCa
PVWRVb5WDb4U4anEwo8R28W661qSAhA6ZQ/Bn/c5+/NuW/Aa7T0FMAhIMAvWQTks2peqt+w/643s
/S/X1L/RDXiz6v6ffnYDsy+zFttysGpz+fzLic9YDT18Fulbw4lwkDGeZdz1qPnDuz4zJo0qk0uH
SLyT10qC0DR+xyQBDexesZsDjNUipzXWzhRDCRqncECJ5ahVm+b9D4KniKpwGPdeo3Y20+bGmpph
acr23RfdhkVas3VKMES56RNEnHw1zVAtebaK6wBLfU/n36xyepJDYIj4YFL2Qp/JeqCPzBf3Zd9a
7lLP9A70dWYuQ0XWTe+CS3eCobhKTwXvFU7z97HX+w0Jv+WnWVjy4kRwGfIImHusDMY9nfJeK60N
925hhdexSPoH/tHbtJNMXlMmTIehV9MKs7K/ngrXoW2vp23FTuVk+mrcRzFO9oUitG4TdWb0SCpw
2i/UBBGBb1uho8/iTWYHxrZV7E8yLlkmlZnEGMMZuW5F2N46k+jCiD3cDaVasGpQ6v26OhPppMuy
I1ws8o5rJz2iPSRqWgrTuWmdwyJ18rVHSygTVB0RyxAf9OqHzKjh5kIfuDleVV7J/muvPnTVgz4V
xs4y7PgUNnq7Q4C/L6DWdn3sr7yq7SCWCfQgnjTQeSul7gdFni/cVjAjcW4kAAYxF+SjZIczNu2j
NHNmyOaEXovEx08bM9VTFdpVsAwJI+5SQr+6yWFz14mJnYxeq/METOTEfII8klgMxzLy3VMBGXqD
/is5zYMNVnLIfTatkY4EJZByvdTbvj55BPfeIYet711PeXgijWjcOQUuNQdf9bptCVQOcNFfpYqr
swv1ZMUSDk1hZNUHqImgnedTJG9CyhXqZgKf26ok05uwR0aRjcqLLc3YeRCE76a+pwCjglEbOarE
fGZFLqdXOJ9jFh0DMCJN+/XnE455HvifltRK1ZoLG+PeAo+Vs53+HIzyzyHJSWFDzufkbOcz1G9j
zhnC4icOglhH/DCft7j/y+dhPoNb0x4Opao4c2sThmnJyGZjqpETnRjUh95rquOkG/LdQaO9qnLP
Q2PammBC5oshne8IKJE0RblBm53Nd0gTZYm289A5J9Cq5itID2p2coE2dkjgjcZ7GvXKuRN1bocr
SLvBN9Jvgvf8ysicrdD99qD1NWCM+Z6UkLBX2Jy5Qcs68j9VnTpcFTzTFvdUUh9BcjHUrsnK2LEd
VdsQkHayav9c6ZOO5zQC8U0ivJP0GwNLK5Rewa/I+1M1jHMBwewUCA0lBaN3igsgCQD/pees4rnu
0CkfwyBulkQRYiMPc99fw8cfjqzniN1h7rQPHcAkzFMLTPZ05T2O130qpdktpB+TudkH9rIcKjnM
gsXs7Jgi3Vtd1Z3TqDBf4ooExw66wEM5GgREtyIWGxwjwU8z1eZ1QJr+1eeyvyZiTJ41HNKPIZpo
sYp06e2BWmgA+4kSwPloJ2gmA8VIlEyNi6tZctcSkHKmpsOxrdChQGk2TedajHV8qMO6uHSyD5JF
rbz2E0Plq46Mf8VeZ9Zno3cjPcI3tj5i0Ccv4gfHXW3uW60GFBnD93iKAh9Way1Q2VgZO3Fnqqy9
x+jjsUgr9zoEvrNMPK4u5JPVUw1+K8HyTJKgpSWE3BQkKkEO7n2Sw4yauUgwpOLs1mW0dnsVEDST
6J9DMMkvqyoRcxFenuCZ50XbKDWB53ARbYOAxrL7MmLE2GYpn/gyB/x2wOSMbLr1tUPQ9GpHYMdw
SD105Dgr22BVN24EqEXT34zBv05RNzxZOXy1oUKYkoA7O0DKA7esbN+9j0czQzpENMLEsNhaWG3R
fUZIot9r2Ym17tn5OqiycMv/8qknbbieTcTrrijdI1MNHn7N63Kucj2515oZUGnllVjAIA8F2gnX
vs4BomGWziIcCAAVi4kqnX50U0PC31Vk33ImWhqjtxR3Z9I1aweZ4muF2OjQj0Ke4XyBPDEwRagE
PHuVetPeM2OAf2rGBvsU7GtcRgw3AvcQ6PZvoYJPNCbWlgssp0EKq3LvtY7P244felGmTfSAgWXc
cvJQWIeZfktJqyC4qbgZdm2+2o0hd73M6xciytKXUOjtD3gncC0a6+K+m95BrdwsVg+QlFLH3Tt2
dTZddZdixKDoH+RSDoO7BkU8FbxW4H/Wek9qylIGpPLiobbrve923LshgZhI063d1NXp2mid8S3R
eE71ifj3QWlyxfo3/IIHYG8jRvaKvJW5rJ/KgUJ5wHM8xPa3lIgmApudtgsk4ZS0TPOBLETjUZZa
9QBNz3yK6V+GZVIN3U+f4WdbWpnwT2VTctr0kZU+gkl1SUVUwElT8NMbj9wfnDs4koK0Jr1WCx03
WXlB6/K3koWUJz3jN69uDybYAN4f1IRDn4d7Jf30WBqqm+n62MbYo+Zrm3bkLnNFvCuhx6wJCxJg
uqaBxsnCBathUxiCwNwmDl9/0HPvtaASTHB+jwFz/nIElQTX2zKk9x43CdrAHl5FSDSfZC818ta2
o+7Shsasv+pKQPYUb5jMzpOns1JNunVvhMZH12veHcZDrsf6SQCoQ8GJCOrBjFqWVkS3TN8p1qiF
Ffu3oispqiV3+2SWxkr1rdr6eoP0JbaGrT6nA8JW128gLInGgm4XQ1uBYZ0gaSfZwazvay8sQLkg
fdVgGPrdE+OJ6cmtZV0vM92XS0S3J3au2N+AbuXXvKzMMxgFSBgzuhwnlAnGOuncFYx7FFaBF2iP
wM+sq4V07pfRdSjQKKhZdALSJXbJ1hjtXZtklEVaeS4Qqdt6Q/SjyBleljkj8EQ2nCImPcYgtFXh
fI+4fNNNUJVYekA3gUAMPGNVY63rFG4ICsJjZ4Lb0yXrnveKSSI6TISGxqIpzfQ3daJLlhXlxmdY
eu85YfPG88XlhT/qTsE+O+ZxWb/qfY+tJcmZQoDB1ViL8ka/TY5Qzy6D2TcG2s6Lix9q2enC3gvc
Hgdugvjk5qG2BAcC4T/M2etpgqIijfZdm6KSR7KxkIOM7zEkug8kko1zZvjEdDMq9u1kh8spdW1C
ojInJysJnib3qTe8ol4H/VGCwlxWuskoct5D5uSMr21cCvggg+HRlGG9dbT/4u5Mmus21vf+VbzK
Dg6mRgOVqlTlzCQPaZKiJEobFCmJmOe5P31+fex7Ix75kvHiv0iqXNdXtkkAjUb328/7DFivYBvp
7mbSZQ5uJTjIxlSySx4u2zGx5gM1pImovfI9dBKOGd6KvKwv3GaY6d0N7jYjV+hjm1D5YWsP4yoY
CKh22+AQ5XksYeYu1go7e0IKRYHuO0KkP2Ky8NiMixYCzlG0JsKWeGEW0VVXGWo36g0Xa080ZVb2
MTeW+jJzu2GPTQMFWYZbOhFhnPldz33AnavbqqGmx8+aAWlsIRILebgE6M6NyVsjwecLzEqTBVu1
07j2Br4sbqVa90HBT4x9QZ51WDqfljLpUFIqsnei0jnEGStEqNsRXe8tfCpJcShtGkY97qIry8/I
pExx99hMUzOto4zIuCFD5WhBSiuR35RBTCPNWaWZeRFV/EQcXrUFiLqdYSY0VDFiFCzdYzmR2SrU
cgnCV24oH+45l6/tIJ8Y22LGN9cIi+sYC4t1MY1yA06gtsksCCm1E0IRMfrIr2JfSIYgtC6mtrK+
I0RMKRi68iUOsZOiM5Rc+M5irDHztGra5og9S7IGvtt5lX0pE7fNSX2xw3vXGAOM7Lz8lrNKf+XS
a7vA5wFkSXid8ynF7XlN+kr9pfB05EWdV1f4nKWc/+r0UGuaIXl1+d4d2+YINbU7dKRq1lgX474t
8Tt1A4W2L7X2fGHOx57j2m1v4D1CZ6PdJgXYR4yK1zJxFOrT7KqyxeXcHRaf8RzK4EuHjRH6N//e
LulJpZNMP3lm7l40WZ4fZdLRjeYTJOSYgADHm4Z3OPT23x2FNZ0f0aMZ2GaAZuBn8HNKSzsMXceH
pgS7Ubip962NRsiHjSj9AM9bzr8kSkQPkVdiHkMbYcKdI64NPLiz5dkjsbDFj0vE2yVJFRIZjVeC
6UDIHiC8QlaIlYtj3wnhNPG8w7F8BiBcKs+/TLDIw3KZE6Kx/i9B7f9f8iIQaN5+Ajo2T/3Tbz9O
SP7NU4Eg5fKpKIbf/ttTUf+P366eurhI2lf6kj9//i9I3vtdYozrUt9YritAvf8NyeMMGoCF+9L0
+JvnMyH+BcmL3y0nEJYvgd8DFC6g9X/pSxytSvFsCyjfdUzPA0P/B5A81IZXAI2BBA79kymFnq0/
gVKlPUTWAIhMZjdCOLI9Jui0pqtWYAbjTe1mXrXVWbfJyjIw+V0NnZttEZE2V8tMcFoVRc1uiaW4
8UryOswFUneO//Qh19m7Rh+CT9VGZGFASQLchkIRgWno0Fus+uWiwNNtlaPO+ozdfbeXHFK3XWPG
kAnb5g9rsLPPURvSDJBElxW6XpqgO1wFURBclAqyqaPrqqKM20vgFHLKrCB5goyKxWKCSn4Tnsqy
Tldovq7VMl21jYQnrapTKTfpqq46FXjSt/yjGmCBEhBPBRidikFQSfuh1xVivzTJctU0Y3K1tDij
1fZs7EK/CvcL5aWbKiQwvkfJiehdU57tbCLDlTjSSlenJBWMdL6pWJt0rDdzV6ovaD/TLfiBc7B0
jZvJeHkYMrwtrrqowzwn+LMqpkOtZW8F6TMtKpGY+FqahlN4JVJZP7vI0IE9amPjR1hjpacaXFfj
cGmyz+Ac9ecoIfnd1FW75Egg16aIESHr6l5p90YCOJL22+AM4aUz4Im0pwzOzBVwobiYSAyuViQv
GQ+GUcj5WrmSZglEpOAFQFYdcuwjdM1itFceZi9PRp1kWOa7Y7A2ir7fJmZubkKV8luSmpA9jNTa
fovq2ziUQDRbJIrWRuVEIJJmbm4cz17QtySDfQ8MXbw0E29hY7dO/Qn/VrYxP2jq6CPgoE8KyWij
7FYeTqPrHIYhWRSZH/1ReNK5CIomvhU2paVVt8RIV3U1Idcx2goJ9RAvt5BhUPSAH+Lk13DQbrnF
pwEDXEBGA3uKciEaj1xJOtgl7YhdqCSqak757UXsGsuuiK3wZak97qnDgAFFu0XSw9piqsTbcGrs
e9gF4RPrceaDVRv8z2zZ4HoJhkRxsAQU4g2hYGHSd4iSqvausu0ceCKoSSEZFE1tG7X6feLm0Quu
GBDPwqqmBQSpDZtTi5Nz3rY9W9WkOFUEfj5gee8b5newo+VJcX796HBZsaHB7LyY4AJ80pGoyKPB
Ughah+ObBt9PB/m4hlU5goeXvgOrwCVPws/tqoLrTZZ3IEiopgksffc2TnDk2bAxR2SRprSNweqH
GEIkZeMHfKyyaeXUBn7ivehKe5siA9D5oYP5Y1qa6sLoYVSgc1YR1pJRKbW8OBSX1iKjDhApCO7z
ef4Gb9+FoVCJb26p8oNJe+V+jgT4+IDZtYI/dsuggKpYfj1/mo0UaZdDbYI3aXZRL2EPrkV8wSr3
epzUssCmJ9UVPKuKSQei/OE9oYvpYQ4qdlaBic5IdmEwQKQAiz3QHgSitmucO8Y6+NHaIFOokAzE
pDKJnxOVTs9RSPyM14TLjQIOuU3gpl32iyhuyb5DIRu1hrZusxb3q9EuDqd46RDyWCizOua8JKwQ
KtIpw5RAh9g0b7vUQiTtBl9RXtdbamPvqEbOGf5AmGSCnfyR7BTx1XcjScKcxlEk0Q8EXmgryhrO
xzqJ62xcW5mFRwCiGXGBp0B1ic6iJnKWiiHZ9NIOj2kq58PikWIdw05C/lb74VF0Ftzl1jAJ4sG0
sau1h4P5RL8p+Og5A/F5XRfcVyq/W8qSKnVGPDe6frkTBmG8q1kM9YMnxuCqqPN5Hblu8q2yYxe9
vVo41Q/mHmvOnPBZKNCiS+Bbqyo72IkhNrmIJxgTDYIEQKhtpdf0ckHWgT7BuPTIBv6SwxvnhEzG
2F7QksO5Ik9uDNa968L0rD+CzmjB6sJxQ2pady9Y52+baCQPvq2I2BuHrIHUFLu33uBmD1ZnxD8s
pFg0lJJs3A6+HVwpMikOsP+Sw1CKaV+6kXEJboP8d7LLiqMgvdhNPRWpllROKD6cST1HBkKrNCuS
+4La9QJZ/x0hPLissVpi/4JTgP2FfTu4qlqUkishFu9OmTQJMe+diJEIzOLS77ulxBO+n4FXqvgl
RRx4z7krfLBrXG/4OsBpIhSP9ENaQkCRbz9NReF95viBi52p/DVGPsXBRdMmMcO2DJhHkpZuMk7y
rpgdecxb5RE/rabj2BouZjakOazc1Aovo4goG2WiUAvsJNlFMc7CvTFG6Cesvt9JI83vheyKbZKE
NJZVHbc/gL+S+MaWo3oi+tSi45kpE9ZSVol16szzEYfMaB0tIRojVOFH5RfjF7uL0h1dHmTp7GJ7
uFCVXuN9SJy4jWZr3MpLmrdOfaN8DwaZChr7hzNWMN98lt+sWwD6TR9iUzP43bdQkfBhqdLejVNj
XCpfDT8KMEsdmTt+aCO2Ibj/Its7gJaXEYD0E3w6MooQpkR/RBiLgrbnbbJrhHDWUes5F8PguuwG
tRyu5GRZV2NBnzCArY9tW5rsSa5ipTP4mYvEimi1NeF8m/qxtyedML3sPL9hNPvmYziVZJiznZCy
t5BGPFfd/SRa2qd+KB+6NBhv43ECySK1fONTaF4RqHxDQ7/E09kg1UvhFo71qCePAfvq839Jgf4f
LcX++8+eYoiX9Z+xvdJV8as/bE8V8t3wo13uf3Sohf5Vl+r/8v/2X/5VZ78n/IbAQrX8nxkzx6es
i5++Tz9+1K8q8z9/7q/K3P3dsvWnKD3H8h2alP+uzG1oNBZVuesL7BRPXmJ/VeaW9bs0RYDdsGRz
CTz3/yi/fSz7TzZfVOz4QNE++yeV+VnX2AucADBJStMiOcAniOhMcS2qKYxbh1x3byoug6Lbs5Xn
x6hov5JpyCYjTZyFcMtO22EfEnzDMdr8BC3APFbd+OhM6ZehbrFMUJrkMg6HvulvUzbfNU+hXaCM
hODiDnt6kT/2vs5dCrLHSVSbYFwuncCj6hm8GlIBmpgp/eOnt/E3jeHXRKDTw/kO/XCTjCPJWebs
4Qisinu1VO5mLtKNRXxgFr6QJXRrIvf8Z1dyeZPC86Ed8ZfLMez1OScyWkuONHY3nUUtSgpAikny
0iMfrqPN25dyXvPGaXC7epXVf3MEf7P1WeunMxX761QYLE6b0hu/ybCRcBTKzz1pqRgRWRfhWEXr
3IP9DvBYb+Q4dGvTc4n7Q8CKqwtKHtCovZvgckqbpSyLa0PYaiNE+xgZ01XlySc73rii1lL26rmd
i4V8Jw5nc9kcFzdirYPIhADQpALAfdShqbTuR5zBXTOZNnG4PHmj+tI0yVenkVRKmSneGW5Lv7mf
DAv0wxObagobDwRPYJ73egxCIfHRdoxgU/n+PgaWs4q5Wdcx0ZKcmYLqsS48NpERpgVotjanccfi
e872/PbLOF3o9Y1IC/aBgyegS2TFyVnh55cRz3NURKAlec/iajUNBZIhH/2o00aw+TfszK/clAoj
z6/aAY9psdwRfC/3VLL5qgjsO+zhP+j2B65neyqwJ5VGX4sFS9xc3L9zs1pR8PPNYhPBvunTi9MG
hiwur0etTH3gehy5tqapAMRA2KQ5Pbij+aExvGtOag/dUF2kgXdQ+FgmjfkJWzdChFyIZhy/WwUz
wSJYFGBsraAla9bzVGN2+vZ9/vJ2uc9A+DZ4LZ8SPEP9Bfw0qCJqpJck0tiMSf4Bj+9mR12C1HrC
jEEM2CB1UNHSCS89D5cknKy/jo36sBQkXyK7f/tm9JicjdnP9+KfqTRoWlp5LrGcDUskcTUaJ1xW
cZ/FNc/ed+9e7rQmnV/PM5lNLm+KnJezmS0dbQ4FN2rj9PSu4FGBr/WEsBYTs8L9YEW5TRpDgWa/
MghnK2Ry68XLhWvGX+UCjpxipLuNpiKnIikfdVZk1JHBkHYPiiTWK5hH+Rqv6RkWQHIXFOaAljRY
GY46Ui+6h9Tj5FpbJWHWBHQunE62WHBf+QGyVKMUxdZ1Gy1ij3YhZc6qDgjtgvO8IITjuCwKgljs
NnK2vaNu334Rrxdz4CMmhWeDRbFXWZA8zyYFPtM5ocW8CICOrXIjoilv5tTfZMX12xeyf/1MwMqA
xKghuRB5OmfTT8EBLUO+aSeVuJFlP0qBEtL1yaFQgTNsgg5/hnn64Dbqoh+We2exv4R+oYvv8GuL
4pPEye+RVIilskObA/H07fVc5fu379P9dWq+vs8zcM0MA1xCatzxQ+UdF2va0U/DlS8tHkM2aOyI
R9ysajQEsRETKz+X1+1M3KhfN4+RliyjRjduMPAi/2RunAPF6Hjddm2xISExw67AD/dR47mXiqPv
J8zVqnXd9DdjBT/OrQfCRHqsCA1QKKYaF/bMEaBFLfgBNi4apmkhO6JJii0k2oFzT/V57tOnMNbs
2Xpavi5i+GRTlG9IyRhfCmACDs5RuwuHJrrCplPtsjj/9PaY/TqJqHboz1FaAWyyg7x+tVkfUG44
eGVEIoQEmLEIjuvEkfuwtndvX8r6u2tRc0iUTpChhXW2T8+p2QydUwUbIs+dy2FQn2EyOld1i4kb
nC13lTdoYcrluoteIkkTonJoYtgBG+zUk7usFsvjpYj21gqWd27uNR6rPybp4GvLMPBRQdQ+m+J5
OhIpAmlxkxb55YKnmDCuVPPxnRE4r1Q01dsMWMQk17BsbXr08zre2lk0kAkVAdXEdAk0OEBm9kYr
uVQSVxvYBfdTVNdPeSM+ptNyJzoHanZFv9AtMavGQAHIIMEVpZtvAYHiY2709CyIIHqnoPi7O/V8
l02RaQGOe7a4IKcP81kk4cb3KlaVBBwXlxY6mTENEHJPvVjuTDNEmda/s7/ofsyr9R5asQ1260nB
rsyh8PUYQejpVRVV4YaW2qdwkiwxnPKCCmNw+x7zxXVSNO9c0vq7a3oWRHsX6x8WuLP3EhQYk8gM
fxAa8fvCJqYOttN8WbvS2dgJpX0xfIvJviB6/SlNvCdb2TjDG89YZ0Xr2KiqG38uX1KQUKuSyLQf
3p437i8LsG9TTGNwxSLs+VTur8dkNhqLpnBv4P4ybAAj8HwPd2HK54J/JsmgmYIqzySaZpv2d3w5
KO9rV7XzDrnjlxZq04qe8z0uEy/EiOH/Y+6ikbgSI0tuIbPva9rHK4FsKairbx777VYO0W4Ec7mo
+NeqdqdLjO6w9IYJtcxDs8tE92MpzIdhcb+QaYvAtkQ0mu3cCOL86LTZO29InpN5kUh4HFskRS7f
DhKf1yNQJnAOfCuWG2xQH+xC3AFLHGQ5GjB65xwyE46YnYiv6znKCYzgn1Qo69sF95M+6u77drp3
25TNwICUmmQunuUtG7zELRnZoISgtEG7iYmR0x6jTpv0LyzeDSr9dvIsTZ/Fzs+dNkAoTzDXSgRG
/ofRwaXYTq6tyNlkOWQtbJLHFLvTyYT8RWTD91i3Hwa7uWmHZDNyo5ZZYGI8H+c0PWY54D1Mjaex
7zeG42AWUE77vvcwtsr2DWeQ7UwywQojSrVzS/B7Mmm3lWFaK1NbC/TFTP5Fhvu+262dGacZ/hUt
6frbRNJLheeSwgK6//H2ZPxlk8WUzeOQLjna6Qbb2coweGVYyoY0BMdeN+og5GGsDlqqRWLv6Up/
ARm3f370f9qy/ds8/eyP//OhKvjr/xe7dT1mrKc/DfgvTc7/VX5/Kp7K357K77/dgNw+P7W/XXQ5
f+x+hlT+/Zv+BFXw0mPvNtm6HD4SGNT/BlW0nR7FGydkHNfxkfP5cv4Fqji/809stjwWPWnaekP+
q91J95SeuRew1gh65vzefwKqWGdzBldPmu/cGTOG1qvPb3u173Uogrwqmdt9PGGSl4riuSSGYctq
h39y2OLcrfIXIhJqFvvsGWQRGSGNlHUD23RJKvIb/BKJ6TwJ6ODJp7Faxnf2O+tsidW3COZkYtmM
iitg23t9iw56QNPKIrJHCwp+g94hEb9M6yUOsLBu6HnMN143bLrIxgbUg/L201v+a67/7PX3H26A
GsxmqCTL3OsbsDOr9ic3Z23XvTJEgeOak5buuYbbWIOcQ4hkZQj6yyEmFjC1uI+3b0Hvcj/tvKch
4DxsWi4afNPX3e+fq5POJYkhL/JmT572soIO9YAp8k1CMtjb13HPiou/LuRxGRd9NljB6wt5KuwQ
0lbNvqxYO/qo17k/NXKKItjRq0Mr6mH/0sBeWY3TRCIXfnFHY7bvBCSdIzRZY+sYTvjUpTgTtrNt
3juZNa71d7EPxNxeDERp79uC1rlRAzVnmUt6LmzbVTuM/VbWkaKotm8bAzAkDhnIpfG+cIq+MNvO
35CNBF6PuZWu5fGzQgZxvYQf1YTShkyyh8ryxc6d8Saau+zFchSi9zF/Lo3C3+RtCK4e/Bjj4t5R
8vPbI3dWpzBwp1MY2JpHXCIw6euBk6okuS5pIIE5oQ+haPlCNPIG6lZP8xuNLR7awUo2Y/BOdXyO
6nBhOBSUZDAjqJJYRl5fGFt3WZPMm+79Loa73efphfRxrLPt2kbg0GG5LtW4JiBIXBULH3TZpfVa
+iUvFG7fNseml25CAFrKNwVbIyNKQPqrCqOyfZ6GMDORVmL6Z9DHfHvMdJzs2bRGAoMRgM+sJnHi
/JxsDoFLZmmc7wPLJgnREOKKZB9tg0sDdBqqbQZfeA91qsBjxL8YiUeYsgijB/JD8Ve4+HMBcudd
JY4efGs8WAZawAYPLReexssdEgUc9e3t+/71XQNlstUKUG0iBc5PJEimDRQS3Db+S9oVk0WBswXx
w3qgW68O6KyTVkeMgP3e9/k3A2a70F9MkERQ97OXPdhFOA1Bm+9DZHa09AJ/Fei++dvPpw/jr1cb
yllOFr5v8nAsOK+nVJnXhQM/O9/Hiyz3sm2yS6gDz29fxD8vnfXMpaqHaG9Ly8Xm4mxRg9kiJVVY
vq/s/CWUIaw5r8POErpgR+OKjzwwJvYWajD8BlV2WYj8xSKp965WKbnsQ8y+swRrS5Msil4YkCgi
85B3TPIsnWwsvI2EPED/wfDoioGk39jz0l4kkI432Yy740irfQddDHoGkR86s25vwi5YC2u2sVII
jG2lTSC7WFhHqi5aCwPcDJjCrESN76O/gpcOLuCvmhkiRxpFCHfpse1KNJarOKjdnW13n2a6CTha
4mIS9ulzobCJTJ27olbhZUhI+cp10hc69dUBB/OArkN5MOYAyxoaKrucbEvMjvzVULHmNg5UgWwM
mHAW8xsVMVHkdf7sjcxBN4s+cqCA8pkHDzQ4mIF9xn07d2USGIcpHhHU2f2jVfK1IzYK8I/Mus/1
LLqVa0BdnmfCJDOXi+VB6j5ZJrZBrS2zTT4lz1i3+pg+NLT0EJUgtRNfy9ZO19FQcPiraFeniWIj
Vp6xlXn6YsU89BhhZVtgo41Va3/PIfuHl7F74oJ+jCbooyOG2Zjh1902YwPZpJCA1kVLmgT9YYzb
0PgEseNv6EmF68HtYpS1qtxnInmm/C1XQieWGx07cL70pCa6xRGLgQ+pFTxgelDwGbb9Bl8ztE+Y
brOxjO46d3g1ZYdpbILosKiHPygw9qEsnzHhai+6AYzIkBxOcCapVsQuYCKjTRv83Ns1Tf5SBq29
8prxqulHGubZS04TfT/jzwiPmwftpkIgS73GA9MmSXD00VnKmyxE0Wg17AGZg/WHPTSwgWrmeaW3
zKWivsILryaPPXsxIkhGHm8WNsiLsCrN/27EpzGDToV8q4RVBI0W/OmFHGUmATSlFd0Mn0Cz6jjD
h9B+8sk6V8Uz1LP8jwEB+tobDf9DZ+ck+MXPmP1UB0KF4SrRjsWikWekPD166UBtpV8MlcFN58FQ
yizWtNPcXSamjYnpxaqDFbGq4+TZD6kZReTcOT7WW9pn1zehymbMcKvn0zhN3FZx3yEBDXJGU2kV
HrJu/wF1OLZSZPb9+QkQNfhM8+Ku69tuI0aKT9et1XU587KGRFcbWgJSFTXS7JgZRLIQ/GaU8asa
ldfKtsf4OJmGscWCPlnXPpO26pPn041zu1QxQ6l2ZB8v+yDguW0xdJ+HQAdZ97jG4tTJpyZxHKyC
oIFowruTmN1vVSMvLI+zNRxnY5X0QMvpPB6ricZVipB2N/chdBYWMKPTC5YU/AzPwdQFPNIvuDDF
nZ03j1XNd+XN6UuDpY72AXk+LRckpL30CFBW/shKUKYRF8D1cNXn7CC1t6REIPTdapgYRA4D1EOK
eooqmewfYR0AbNJjjuhyQyC1D/3DynCGrR+FXR1Pu1NgMovNiBGgQYc5tJe+wHzH9AgFDZhBhnst
GHXblfVOzPaG9fR7qcO1HZuZW1J0rbou+dh1fMeuwe8dWWthQjIgJBO0Mn/uqa/0crZw+ESz6N2c
FqVBsLwglnhMZ+4tGbwbu/LUocnFHecdcjssPhU0Ks8LCqi177Qp0nVe7uk0Eet91EPos9XbjlfJ
m9MTkuj7oj+JJhF3eiuAFHrX19zY6R3UdnCT0GxcmWVI52M6+lEqNA2NaVP6SGtsOgKV1T6aqWsd
RZu+ZHWUb1vFVGlNJuNppfNhB67JcX2oFsGK6ikDQDCY/uj8pd/OBt9vypeJz4zip3y8h/KsCy97
/XZmg5mH8uuootLcCNyvwI7VfHlaiZEnUIh5uK1Oic+e4VJmLcp/kHmtqXtR6XEn/rzrZv4tCviZ
WT/Uu6Qa4EzArbkhazzb+KJm++lYEZjD/Hq9rzgZN9Xp4lnH6uBntV3ibNk7oc6ZXxhIPcNmxX8J
mn0HlFTvRkLiVlPFpGsDFp68ZloVI6uPP/JqnICCQr9dwgceYZU6Kxmz6nMKKvdNxC9sRk4Fp/U3
16ujDp7ZY8mOTUxQgTekXb/VexzWW2i1Y2Y1aSMUZCo7eh53bTcsN2kNlexUDsPgwVlxwpnWCPPl
oxk3oEeIeJDVUFyZc/Z8mitlXzzDNHkp1fyAnSDhDQKPqnFkqPVuEwasi1nPJ0C0VIYZMHHGHqYv
9FJhK7o9sJewk2E11GWzg7WD17HXJtjoMar0bKnPhdyB2sWHnDB6FLd9c8Mq2VwlbtxfuFPpkHRZ
eCsSiubNgNB0lw2TjycORlApFK1V1U3LtCJLwjy0tYq00cOAC4DlJrvRQrPT+wmEBfJSOBskL1VT
PYZt2e9mTlbfjCBTH5ycGCizzOZNVPcf0rKJ9pxzCHsOLevRdK1kBVmmpCJ2kk08WOGGmEETWUiz
E4pjEp10XRrU+OUAPstba0CIMakFt7wJElKmWYdoXhPyhKmTG9XeOFbs7qQ7W5fInp8HI0djLMnl
GDMot/akul02mepKtXxOdclir495lazxX7VAxtneu50QU3wIjKK5SQRWUaTzJgRb5uSXujoOi6ga
UmcilxqlGTmgEUJeLozYaLc/UkXB1o8ElllNCbkxrPutLd0LwiMf86CAxYXoe4X51HQ9OtW4ynwH
FRhO1IC4CGaRt/LLen6Za6E7iRWhz4llDbt2EJd5NX6N8mhCidfGh6LxiVedwxgiqfetltOWXK1v
A6pMzOtiFi2iXdaVT2CR0fTggGSMIzPBFBD5Ps4bWD+bnOEQDdqJQ1gH+gz03+Z2jNwNxfOtMWVr
o2UB6JDlRHAot+iJ8HuLr42pvUoAzJmEE+FH0yVyXB9rEVoFQWD8qD0mn5zsbGtrRmw2GE+0eHzm
kwUBTbl3UZbasFnMI5KGbFNGLJlmijM9+iDjgHuXuenmgq9Wn3yI/05XpmJZSobkxZqrYBejfgFw
ZaXB5Wz56PQuUmUEyWR2sgO5pRe+TKlRraHW55/KZnCvXIUVCAYcjEuHBhqIoyDZ9VukApfljTaH
8iSBPxVFcEyo2I5Q4/bC5AxHKoyBN95pHXfxYHBM9rmIxQEqSr81xgpjzrrlp/SJXmDHuZEOnykZ
qx2bjHXnzH6Le36SrduCeVvpKcqBee9O03MwDv4+K8c7VDkkrgXQm0meY9FkK9D3OfrmnQX6sO/w
2liRqYy+mDJ7sOLnTFSPZkbW/CjMu05hx9UTMIyTbTdfWhYZJYkpUU3K6LbMp2O9WF85QDY7cxTt
VWfa7cfBwBKZPY2ggX2DeeUleiBC6Kc0u04RjmxRD/n49fRU13o5VTB6r7OBHW/0+3o3Cf8Bf+/n
eimOFBjzrSL8iyrQua5b6hrDCo4WPQvOjT4acXvCvoVcv8AGp7fRZfV2zrMmrXfjTml8a7ZW/eVE
Iy8pk7dWJi9ylxlW58yGwfArCizGtMgnxtnFHb1yyvYqMpKJbGQDtnHLdLM1eJVEOFyQvbhefNa1
sKPOyZp4vjEMhwhEL9CLdMFpZRxrau+uVzwsNaatxprYZxSlFc65eWTh6wqnxgrSl9KIXyJ2+7Zl
H+pKcRM5zJHTjt7PHMJ0udPouRoxTW5ClwZARE3A4RpuNEqqrcENw8ZkzyyxtSlW+tSiZgAi6WH4
PETtY1Ww9YzTMP0RYZaIV4/Jyy57QsMGnMIXkMlVQAgtutE+u2+GMVkXprU1InNczzKmuuNEvz3t
cm1PfF8yOpRRrvZq8wPrGNVcJsdDfzXHjvpaODL+3iZzsAa1GEFA4CYEyLbXg8FswsktfMqnjt/S
Fi8mYujnIhzLY86ud5r9nDe3PfmRlxxWXwAheKrcu/fnZE8mxV0ZsU1iPmZu0tr4oYEq4Soyv6Ng
vBYNb2TJ9B4YMT+Hyh7XHTUUi0JU37UBCnu3DzCPt5Bn2GZ8s2D7CWPcyQhjtb11JvpLY1AJK259
tdhKbd2Gyy+5T72KXQSBlvYfeTtC13AlGk6au5sgBpVitrPFYWKDp5t7d9p7g5nvNHbDd1pmJyHN
ObxAFxG+iC2hj2je4s9g5piOcsSkmkDkkkMnzSsUhH3/2CCxoaNaIGkzrIyn4C33Klc7khEGlpoa
Z+zPflM/mH6CnzPKTfJCk+dBkk/hSfmAIdytac9q7RSSFGWsfjEKx3ahnsZbrzBQT/g9BXAffTwB
maczEp3g70lfxC/4To002L07K1M0iYzeOtreMl969VwcZwO7HzHqolRyBuoJQOC8hAEKak5qL931
OR3CBmyt7gf/e4oRwVXZYcPpRroKjBGue5x5NyLyw4vMsuZ/DpHTEYDYZUugQCTCzushTfMkLgjD
yPZhx5EDL43wshtAJAiQPnpFJj4lp4UXHJ+8OT43a6JofAfP+RU00q5oEv2Vo/tPZ2iOQ9aJSMi5
26eyc1edreJD11InxV4D78lIWyhYo4ltdeK8A1dpwdg5XsXxHVYqPAEX/dbZpfmyrSHJAsL/mhmt
Mov6BqGOdZ9MXoFncl1/Hcw0xCpLYQQp0ttqLMYPQW3vESRYj28Pg0bgfpncJswNxyclCRnb6zcx
2INZx9VEkLVeBDRg4PZ80rAC+m0rXLwWWF3fvuSvmD1WNjZ2QrQnTIvC+/UlnbI3OW6Gwx6tFA7e
+E9um4j/Z+XVw9y1iHJjY0L5jRUjvsPF4e2r/w1YSJ+AGwh83j6trNdXLxhUB11Yv298irEMQGeN
aqN7Z4b/zbCCMtNqF9gPi1/aVOymtqBLBhnDStz1oHqOX+n8FX/7my4g67onBfLt57L+7sHgQDNx
6WmD7p89WFPCDZuhPOyjJO0IqgMwT3q3vWBJAMohYz5m+8SaF/TM9qLnYs6X/TijB54jdLX5mHxX
/5ASpBFT3Uek3c5kBwQ+m1zQMNskMGu+sSz9WtVi+fFn8Zul1Hj53Ny8MwT6972ezEIwjaH32VAc
OJi/freDjVEItr/d3k/kTWvbwaY0RLnFcSihXc8GbI3ek5unH2sTRbwpPxIdaqzGZLpGsPi996ec
6MlEvUN6O+cdMgxCBEh3mOp82kg/X98WJh71EqGUwqV1BKfJKZ69hqVmMEu2TKxZhqo5YvrVfXZ6
baBDfgU7HRK4xKgerXYGmKKOW+W1ba+SqiSv1HNuJqsneTJNv3ndQfTmvFEuJQiGn07n3NnUOHie
6xj0IUXMGW1jCVIjFT7ofUlvSXcdM4R/pCXlBC/hwLgmsZOztYkqJA9JVDBDo2BogLJ02+60sRH0
1168/cpsvdK/fmW6k4x4FqPkAKrO2dgEJEbCZzTrPfZUM7FjTbQmaX5c5VMBLiYb1PmxkwAdYOrY
j6N5ekyg1bXOPKYglEC1ITudStvssjYHYytMukSjrpuVdgvoikiR1lnAbfJBQqHfv7ee/RLxBoNB
+CaUH0d4NKXNs90MLIN1vqXYpCjtVsQNGIjdEHWXsn0cbFTcsVccoaO0RM5gGGPkCVQQ/IneHspf
Jz8Uq4DpZdO5x7vmbCSLVDn1CBEd9z5sSyYGxmYmJOXovXOhcx0881mrGghBp8MrbXm+0tAFCRvy
XvFHKEEFU+oea8nUrpF9+ZJjUrkh1JnJq9Fl4re1J3/LzQzBQo7xGG2mOn6GivecTPSbZMF5L+MI
yPhm20qfGUsO7+Dbx/Z/U3dmy3UbXZZ+lX4BODAPN32BM5/DmRRF8QZBiRISQwLIxIynrw+yu8qm
XVZ0REdH1MUfYf+SyTMgM3fuvdb6HGbzTkkbjngWY/fvn9Y/fWkM8EKCf7CDICP8MJqquLnawD2b
g2iltbVLSNy6gmgnW6rOCcn7zhn79/W+NBe0n3olfswy/MWO9UHH+POTtDzmicjc3b8fE6Xdt0Fj
Wc3BdOvvTjST0mwTddSXmjzB+Ve/zf67MiEIHCSJJn52y0QB9WEjqi30xL7dML9EjlQ0kKLXseTS
2kQpWqlHA5eCeukYcthYFm/lUr/UU11cE6JFV8BMvzahNV+XqHOPAxfvuADeEbuSmz0BrcN17oy/
sJn8/RzlFXvroDjw2dE/Cgm0NwWyJW/0EBgzDJm2Qd6EQ3vXA9iAy8qdZDDLXwwt/6Hg57etvgMs
22zbH1dSSekw1squD0lOY1PVjstFfLKv8tqdjkJ29FNT3OtW0Z9a2lOXyKFRufYM6bfDnrNrE1gb
LYSEQdG2I+yWRqhjnWmtWHtIx7uGGC2qS67djte9kLhGN33tiVRkWm1txs/7Llh3s8yjX7uOX1y7
z+4LblQbWTviSEgJiUn4pzZZ4nwqlQ2EjkxPtOV+GC8MHfYiWIv5ZIwO3jqhxO9EUh99kp+zjbp0
zZiZ27f1JuxnHb9uMplQJK+OMU2bpmnH/bLwGP77ivvHbcN3XAQ8vu1ii/lYDYQIU7XLtpHOnbgr
JGNMIl6Wve25RArSx+QM5JKbRTa0sJRutscXXY0KuCQ5guCR9XgOICn8vtdLe2Q0OmfYBty28bZd
Z3/5Odp0G4ssDqa1Z8m4+0bkfAn//k7+XsCG7K8UryhOTBvr5F+XkU5dRrDYbQ8YoWciesZqKwn2
Pg6uGC6pjmDEh4v84uId3MIzL35xZn6M5GTXAKoReA6aF7RG5Dr/9fdHa77+OFX1wSyZotW2nu6s
gn5/WNIJd1TkPpNGS7qoI4pTT8bxtnA5ISeDPna2/hMQUrXtTRCNIBN4RMjr2aiAARABS6+m1Z+L
uX4xSGTf/Jw/0NqwDPp8yZTvBJa2F69ZpwEeTfacpuTBlGuPb1rbudiV77Ua3WezBIliRld6sLPY
g/1Hyiy7ikyjH/yPoUdpmN/dNi8PVYjApggYN/77l/QPlQVSV7If1sRWTmV/rZf/5HQZmNVVOVGP
B8WQ4ueAQLrrSJhcv02TsQyXriR8rVhOExGhQIqoGBJAWSikTj/HMIvZI5zSRJtxWt+X6/6m/CcC
IzLm4s2Xion+NiUdBzeAnA///ur/vu+hUqWiYN2bXFM/3pH6zsD5TuPlYIQuGFXmi+tWUcy0I392
o8pE/mLX+6mZ/3MlhuORfcDhUobMgYP9w1MlLBDoGhzmgdY24IumC3Ajcxz/nMW0P7/enqHQwP6C
kgPRSL+OAYduzTuGD77TCkyNh5hlDfP41ebx8aD8+eLQ6zqst1U1tP75n75Mf4a5beCxP2RCEQ6k
eQ1kITIFYFxWrp/Kv3/8//Dr1iWOUsmxuEz87dgpGq9lEFkcRm99asFezQYFldvy7HB3/FUFGX6s
ggP2OHYUFJ0I2dAkf3hWhR6YNupMHECGeFcRiSjshTrYTm60Z9SE6X0sqEiIYefMoAw9Zt6YHC3L
qG7c2g0+jy5IsxyPKK7/W2zN0075nR+7I1G4I2t0S3elvZRhQ84awYXYS6qMhCaCZJNBMt1cumrf
ZvzwbND+Oru+B8yxpmFWFjifVm0NkBZbPG7NkTsM0AKjxo4IER0ZtCOG05SMezqSaqdT5SJ7T50z
Wg4A3X1x26KI33Btcw6BTaCCa+nsygfVScZLkQILBWazDMawhsiF217wBwAUvlqr2s4aVX8/U6jt
ZZnk2wDi+nVSDwNtQw8IHDX3QjpJwuC3kM4ZgaqHDqyIINVJVe2rxs3Ofa6HEaVFVdAlSxy85So8
RhmvwWgSHO/GY9O5t6nIbAJF+/YS+saysras136MnEOHlv8XC835WKivSGprDfjnXogMb00N+vOz
HKVKR0bJKY+CIlxjeZlel6hGqtZksk0tldvSvG2UqrDOjC6hC7MLRmb9AgFybkPd+cwvcH/EgQ7I
6SvFt9LOCchFeoiFbvRpKQ3ubjbI58RWySC80tWeIYK7WbsS+9BZjKe5Ht2raP3xed3ddsJ+8gLU
JuPkoyTxeiLKtKyOdt6Gv2g4fWxTIPtjQbGCqWPYaMwPjzo7p+XBYgn3Qi8HLeaYFtEvVu/HzfPn
rwhQGMLw9rEof/iAuYV5NALSEMFA3mxrguw2g16RVc2CGKRD+T4bxq9uRR+LAn4peyeuNjrs67bx
YYdKjZCEP0EqtKohnTL80ptmMRVjtwIIlMNIz3C89lQT6w0LrGh/0dayPtb2AcYrCmSc5nRWHTou
f32qZiVLfDV1sMfzbTCXz1u+bYcQ3nz9hYkXnRryqQ/sdk+0HYpD6frDp3/fNX8q4P5yhKyvgRa5
zV0G0e8qEP/zk82y0YGtYXkTxI7DdFbtUbqO5iJutjBBhyzCcmO2bwRgJDd8kO5NPaE6rTo7fDQK
kJSCILhNO7r5vpdL+GK2Nh+laqnuRLOXhdAPI9FrJ08HvJ1OBFdKuf6a/KyeyYhMiTSpiCIco+6O
DImGiFqj/EXx5dm8h7+8RwpY8PC+4zg0rjmb//oeZ9wjruII3fesqqvRwRpjNqm1iYZ6OP98E1Ev
yjtzTIOrVvAHDB6TTbSYy5Yw2HyzUIJtHXoRG0ck6TEiHJxo7ZxYCfRcJ1KZfhDj3R6NwUdCFg7L
Nkude6IAnV2js+EMta09lsrXKAAWEBtTMDDVbneGhyXFw165Iz1nQeFTrzP2ytjLBgO6TuA5NAI+
ulbtzcR/uW/8AYmFSB9mg0Q5PxnLu3lpnhedg94W/dkbe14siIQ4VWK4JmywezHq6v3fH5mPQJEQ
t6lFEx5NZUArGDPfXz/OBkJntnBv2qeFpnfSG3pDvONVlo6PeP6TjdO7+LU7LH2ZPycbm47XJvea
8FiEINiNjO5VwXwZ2w7LLIcFdVGE1b+pOQ8YL0fLhZ8C6p1USSbCbnWkkbRiBYkAKczh25I30YVb
nrkxOyR7HjbdvbLJ55Ha1hvDr597wsz3w2Q8SRrS2wL46y82q49WUz4Bizs3KxbTIAv4p2P7T6VN
nnUzptjS21sDhzcgD+fVnoBVcGjxCLQE3RAXGXaHbiS3zDGkgRBHCTKQuvA4u1mzzUWy5sTWIM3S
Vd6RseyKpfUI3fJyY2+PDQ+mnxpbjThua2qeEeIT8o2VhfmmN0NrN5NAMc2CAELbfRwH58WFkhfP
UfCYiOyduw5pVcynLnDFgmOKaOM6rbLwrqOe3ImSoGJgxVzHK9FsJXk6B5/ewMFl5LdnMMmDPvAr
yYlzftHD+VuVtt4lLSJh1qgNLkQfttx5ygQzSp6dofR+4DYI79a1Ai0j32BqGn7Rxg3+dnIBgPAc
FGp0cm3iaD8UyLKnV2X2HTsscqotXvDoBWGZuDSwqjakIU97AlLzG+F34mJDGYmZLitGV3zo06Co
4MMx2TBN/Azw+mpM/euEiNi9hcpn8jGK5vVWzazrIUfyyt/dNNSEWyPiudQ5x4c9spop23/UrVru
7Roxn6WW4btV14DjHdZAw6XwKm9N0plTJ90LJPGfxqHUDwz8k61li+G+IQV449roNAoXarjjL2qX
GlxtEHNFJyay9x3+mGNUzOwcC+wc6VfBlcZdcT2abMttUxT7dn05TEzLtRAfPnkzz1Y7cMwYZILL
jWcHcNgB+Lwp0j2BTtYm4bGV+QpkrEQiYzHOFqI29tGK624xB+4VH2QsAsvfCXpBVKAsiOUXC+0f
nhYeEnoxqx59PSX/utO0vl8WMkUVG2pEObnH56cbj8Opdutt4LEg/n1r+/vvY6qIIp0Si4u69/GW
7hcVyuCl9vallBQgDasB2Rzxh3kWHsXiqV+sBuvvhSXXNo/3ZnHhZZgXfVgPIfI2Zaepu0fH5Oyy
GWWoZYFPyCSDqGoxxWWK3BXn7BPl0eujbtku/EI5u5pUvA2ockYBY5BsJm7Om6jnoDIHvmpcwxpR
gtUdGsVbyfxaP8iW7dqr1sPdSzQnT1beeVX9Nq/bSFp5yQo34adb5Rv6RbXLfVSheZ3BaqE3+QTx
sD0tfngNQbrYM2X4oWqMucvo/QB/QUgKr90wu2k/h8lyoa9l76x+orFS66d24Vm3DHb+n0drU1Bq
6TAVLyjKnF0kEdzDKnHQiLCaIgAYB8EjeKlFaV7Gzu0gc6ynqSwQgzfUJQQUctTKfonxQhJ+bLN/
aNnPX6uF/a0YeM4X6PPbQmsAQyM1OyiSBuR4o56zrDD2fG4OPHheUBME5NJUnPWRQcD/Mqvpjz8t
ed6zuQdgExjc5muUIbg5yRObkBYArucn5MJuT26GTVNT86AOG6kHumnhQ5zak+jgYFqKAX5Prtkp
6tLwCBGhv64Ef8VMqSCqJOq2bY34G803YXoEpdwQ4oyaAxQ75wJvEyhyfkOE8EIINuy7nmhZwkiS
6GRL0DNRCbWrXPxP/hx8k+h1N0Xp2idW53CFp8bZsYPxFHtzeBhUScmSUUb/XO6Rz8eH0pTfYHAK
NBGVDrw/huiR03Fp5+v4ubr+Xzs6/0dlYrF0OVP++0ys67d3Mb/9rzv99v69FX/2cFq//6e/OzhD
+zdSr0gystbmJG1+aqo/GHLub9ym1gSUkAgYZvD/aeC0/d+IaMNCwx0CENrPw+0PA6dt/UbIwOrt
JNgA5wKxx/8nF+zu98L4d6ctiWJ//PtfzImclH+toClxSBpZ51TcAdcj9cM2hRgwmhYKlP1KrXIp
SFJxsFotbg0jJwDL6yxkMymgRrTO5VXmzKN1hrLUncIxI8rftbNbrYjcj3F8ue+kHkRPC8pKxlF1
avtX0JZ68Yy1JZlJxa3DZzKBbOwsNmpxwzGRPZYPCg/mJ/Z8b9OJfrhtKvOZAeKEBbwanzKvkU/p
UlXvvRc4t9qU+dF2m/DsU3yfdCr7O1lMFDxO4IEjasuObpQSxoImDni4AFFjblB6LRdSwUZzo/tw
vo/6ZJixnPhlfba1eqgmXy4PA+Jo5+SLRT42BOUNLFI9PEqrltF5cUcL7yQB1z5gUA7vk52Wg4qx
fzTvhhH2bBsK0WPsSDPtrvqpiqLzkFBo7+i12voet0zz7mq3zg6M1Yrh2bDS6L1elunrYsGOOdo6
UpCmAqfYpPnItS0DgVtuDZ/rxi0dm2o8L4Y3/OiSoCO6QUj1ysSKzdu3JTCNJLy33RnaUZ6fBPcl
shdZ++ahLkP/K7pSdzg5PsPIWCVagaoXvkmS6dQQiDboem/lKWP5xHILgUXefHKhnX7pSzd9h0yr
v01mG9wQwTMHuzZUHVS7EWGuJ5vxggqK84x8AAZQnpYHPhXX2nReCTKnxbIYq6zBTj4Q5JtaXXrl
lIYsXhcejoc8ZyiAqrIyzziICoJlS7LilzQq4yaZBdnjTsrcuUfICEdJbHunYodzC9s+4KgPzkaT
p1c0k771kqeF1K4CAhM0c651af4ItColhH4p6G/zvvsw8Tc5vSRBtuZUv5ncduM2650faSnDz7Dd
eMgtk4z6V9EEPq2sEutpP311yGjgkjJg0Zq8dEs+ZHYw86UT205G2cXv5MOab8jESIsrz5u9+zWT
6ovWZXadjlnr78p5EQfVBeE3LfFQ4MgxypdBTz0xx7YHwsnP0olRu8u+H6NDEFBy4RuGG1Og6z63
lWMcsGUqRvLEeF6NyZBt86p6gNJh7jI4ogRq5Z0dN070VLru8EW74InNZuB5J+bOE5thaGnyELMc
Ooil5fLmAT8Tn3uzFtkmmwR58JXwc/B3xFOPJ5MIaZhY/QJpsZZmVp3QeECNgc4hXtoxg64rrbSr
9zUTlelKUXPCAixGwveZljhiT961rUjQGK3blgthEDe+9r9gnIWxE4dpYGCakr37mTuoMm5o6wq9
z7xM9HvEzJZHNm5rz1hFRsfbj/M004bD/0Nev1l5BWvdTqvpxlVB2l8DWxq5PinEf49ZxN96EOFY
EEUbEAH3uePpwuAUlMQpJLSF6k02QqbcoCRfeMpIrj12Iuue4NF6p9CjHfhYtDUiqMzArvN9HObm
aoAzw8L2GqZwGGjKZ3rDCDndOi++l2MX6Z2TYHaPmwKlLIE7+L94kFZNeRsauoSDZJGrKrHCQztW
G+L6x3RHpnaBL7kkdiNuSNmOrUi793Rlqpuq8rx338BPd6S0jGibup7+6kSlNmIpCrXFKIBULeOP
2CQm+1OFrO6TcsnFJUPUcveED6dHz2yQb4gQgEHgZQoBhhV5Npk0oChjtBiii9kgA9jNeY94g7co
txb9W+T+AucXauKCoL280uMXjBLh9YDJ7nMd5LOMR2+cb3q05+dKOzRMNVkdO/YhyrKphT3uWx26
+0hFd0Qno60KcyS0ueFP997Uz7iZK/uBmGRBh7PzSDotmK2cUDFgzG3KyTpZas4uHVdscIZaPQEC
cz7Lzh/3FiqEeKki/9RnY9rFkiNS4qxBQzulxCo5CITzXZoZ6bJLSTQ9mHMfXTV1ZzAoaIG3Q94h
+9utmlujq/s3k7DV12y03OdWWMXJB9Wwx5ybPHBaZuFBWUGLKzyfvqouc99tBvVPo5bjfvCqx4ht
CTIQo7p2J4b6Me9dirsWEcNZwdA0D6EVpEdoWc5WtgOBrUAesPi43eBsvDzKxD4sh0XHbel/oVbm
a+3bqr0UTFd+0L7q4yojH4jsK/OYd518DQJppNvaM+3xaNr0hCE5ox2CGnGUcqh33KPGG69VTr2G
wlv5frZ4w52ZWt8bKv2rPskdTAwVkKirWToLNbNe6k+qHGndJJPk7KqGxj01bj9c0Hen3bYmrNoj
grbLXj3DcO+HfnYYuxXRbaWZ+xOnHiLvr/QVTMn2Sz54xEWPxBqfid1NL9KCXxUrwo4fPGfikpJh
G4s7/La3vJbuFXqS+VxYrQ9wAXblgx0occqIWu+2iR/s2yD/zk2j/ASpId+Nicy6G7696guSae7w
Xgf3TXfeobZd2u518z4Q4HwnuGHcULlMZAdX8mW2Sk1IsJGJU1W7gqF+r3dFVA+st2BytpaZ+fdm
Y5kilkhi7q3eWJrHqi2Ns+3W+tW2cH/tUhdRdJzgtmH6rbktgERpu6/4ON3XNmyG+wkilHMiEL54
qcc0TW9ntytZjLlbfa3HtvuWOOWA5XCqtXFuGe0hqjbzKCeLZwgeEZK3OJa8Mjg3sAlFnHhE3pFQ
QTD0hp/GZmYaQTBsdZ0Bt7KJN4iLpMMMl4NO8UZmRTFfrkWIdwvwvevCBTGW8CTXipQsocZDOz4v
Y/fD41qn4mLg35kU9T+8sRtOsNGaq9HXwdkzsua+qGsGOS0WeAFye8g/laCbDkLJ9pKJxDyYfgL9
SkOHihkelZ9zYgPFBnMhh83Mh9NugmLgFQ6CP1xhP9FR57LN983sLG8qqnJ3pyZnfmPqm3zrmGW6
u7YdwJWloasEOeezKO4s8KMXvniUcTb/eUUAIERRhn9tdcu8YnmgMBXbKQPtC4ssTJks9OXCwwrP
6IDgrn6Nih7RmudU434yuKSCBhuauCME/ktVd366yWZdvRUzsQEuCRxvTt+3uyHRGK+w5iWXtFaW
h4rDK04BL2lH5PEyb3KIjZ+7MFXfCCFXM8NWmA2Z8AgsivrafxD1PF3ptqme6gidBF2n2rupwwxH
wdhk7amCd+zsbDet79j1562meb4cKXbqJiZ3K/2UWOW674xsk60dIRqXkQXPDv0fU35oBJJEoFm9
hlnOURMa0XKrpfLcbQOc6K3ram+HLb6tyU8uiluH5A83DkZpFRsxk+2K2B/8QKetHjQn0LBP6dJF
T0T3FyGX+Gi5yWZhHqt6qoYtMWbuC8Eqg3jE7x7dKVc45Y4NJnzvqC27eJrMOaH/NLl3VTp7Z1HW
uL0ySSvUqR2j28BiMOY45TM7mhkUYIT6DHA9Swf3xL8bQRxWo/1Ifi53VD/tn8XSZY+EDIZ345xS
twlPtfel3XnD3oxoz1GSGOZMZT/4OC6H1H8c/Ci7zYeFGRxc1Pl2HWZ9k+nkPKiGjZoJbA2fmoh0
f+cNnvHOjpfvOZ/9vc0Q+3swTw3mXOF9iqaotvZAXP0Hsx996FM5CgT849mGfjAGQEL+orPATvql
wAF4J01tfK2BFD6as9DZxW47eamGOfiByi1rsHG2dQIl0ZPvpLZ3z8s4zcdyKYdLwGiW8P9AmIxr
gyGv9gyq5hmRErvQUSnpH2eVG5/8dC6HXQkQ+WB2XneRqyErmDPT3CivcXbW3Ot+U9lleTaR7wg0
mMP8eQmTblcjs5n5u4EKttBWGDTgA78iBRC3qpFmejdWaXaZ0tY8WbJ/mcwOh2taZ9uFpggvxFav
SW2ulym/OWNpCU8Z9FjOrhQJ+hhg0JvpbMXZPOIOZvOKHUM8Y/EMY1djguEpHJA7Rj/qwD22vqNP
U5qkO0W8yN4laPUQrkKQJJuT7wnKiluX8QiVFcy7WE/cDoHcHmoJc3SkRHC39jTgocIdejdVnjip
vKFPS6DI0Wohhqk06L+NRdfcI0ojkjIZKI1KEFpPLmff3g/H9jiWUfpKOYNRLxIPWcXW3Pa80HkJ
Ek5wWH/BUCeXxgNG20T0iqe0b696BucUIAx9xmz8xu2hIwUOwFPMSVzshmrs3gtVmRgCxzI8lbkI
X+n4Wem2Ytx/HnlAaL/M+qIVuCi3LvJzBA33bQnV+9LgXolBd67HKbexRlTwbGetz7NhL+Shp8S0
CcGtNpsd8zrK0E0LNEgbVRlQptLB3mfJRHtYmnO4IT4CL74quivcA81pNhrFrNnT5q23eEQkG7l/
5dTJE4/9ve+ml2Hqn51ldO/IxsNR6JULxIMCnJE1oh+cW6xNRYrzVuH2vxZGVxWbfO5LLGGT+Gym
fgQKUPoMbir1yact+JY1xXTnLzbqItPv8usZpx/ukdE91Yw6HWIxWpftjYCGLxh7boum1beFXJFe
bXfE96KpAHtQHGbp9LAbdLKBoua9kFg/fG2W9lqKUl3aMpdbZZm0oqGupIhWE5NUfzRyIdqXPeDl
8JpCb7ngF2xvIBr3j1Lwux2sJVvCZPu9KjG88ohCpZKLtG8IgB6fuoDafG6LDvs4oYtfVBJ6586y
h10lwXh3s9N+Dass3ZdRMF28KBkfk9Qrued05n6ETn3UUIUYBVn+57BSURGDWE2HLTPuxdxRjdwR
C8cMWtKja+K6t+ROGcqDw1f0FShZO4DEOlpKbCDWAlbtDKd57WhSy60w+uEHibxdADgUazcDoari
ZtIRUthxmrxr24DZW5RyOqKDql6nVNOe6B27TGLAA016J/PGfE6yoab8LuRdnTv2qy0M/9bOS+u9
xcBpMXsoZR43fA+nntvN3mcuQKjqMmXPhSKaC8QdsSSPKBErJnapCndN6ncNAje1vAyi8WBeKlQn
fWtzX5icCv1bafvHtUHylnqGtRsKfPL4WCcfCTGOFonsvTMeLcQocTcidOB8aR5FGXRvNpjd2Ggt
ebS97FXntbg45AdUu3KllpgjfRbudaW1JUnKe1LB3B2BADn2dTrNFml5lc71zsZAFBwgvjvM6CCb
gMUdZRU+5yqzzUPDqYlbLSnXkjG9Gkec8qMG+1d0EX1T2EoLzfEhMn805tTfhIubfDYnGQSxmB2G
ewXmPKztmT7TwalAieYKTTySkPJsBLkjn8akWx6rDnvDlZyIMaDZPeHMXsQMBWI0xs1MV+KAEexL
JInGQh3kWrA9TCdgR8pMENSWt1xz6dSvUcWJtR/HzIuLFB4hVzPjCdhIeGX4S7uhhHQgTGFYZsll
+oYt33cvqpf5rZU47rcy78PPdGYgUnEeUUk3Hmb7srnBRauAnaUwqLModa4m1Vt7KxIl9rPGSI4K
/i95HUIXwPIWnCxIWaT2qPhoGACnsUmm8psRCrbOmvGaEMl2vRb2Kf2IUrUMOyeUPFv29X6MG9gu
HrbnGiYTUCtPxpk7sdzbXMzgLE0Ju6nlJsaAMpjD8oDDz2Q86nXBxtVN/+Ikai2VCb7kzGnL8gmX
XUViHB3LW6y3Jf+vhD1Ii5sHM+acLvyz8qT7xiyNWVcv0mlTkP9AhcMRNQee0cQupPPzGDX+1wIE
8WdfWuELKtsKA4MWxl0dls68aYnqasmbaWfkPB0lbFb2+kQlXpKC0BTlJpn7lutdpUwy2fOuAU8k
wvTVVTNeVx+PKuYNuIJ2BVlj3wV9sPWy0Pvm0/8wEBYRU+27Jb72jJrnJW/Bkxwsv1cXpI3OnWRI
fSxlV8c8wU75UBmlOgL9UvTxGRsTrBKlXclX4lc4gaGaxK2SLBIJRbjZDbKG157YEhYJMbuJbMg7
10m/66WVH4oB7z7A2GT6MvhcsHgnYfvcz0GvNz7mdt514C/QN4uOkNEgmmmgYe1P3vpSWE9hEIph
53ahT53AdPPit0Mv49Qb8je77Rf6Fhm2x/2cWqYBYIoEhXMU9MvnvOq5dPF4+lg30ynwLHTsU/pC
Cih+nMr2zzREgmwPQak60K0t3ysl7esKzyURHwV0rVi2gfZvsz7tnlUEM1eNJt57XLw+b5PwUFys
jHTIoXcR22JUXiqIQslSMR0NiRHohzR6AkDHbX6y2X5m38q/JvPY0QexbWVfsU9kqCxMq+EBLTxp
ncJJ6eqA0XdwLqMcekQg+RR8016vP5W+LbiMMdOTcWHT0ouzLpg3KBroPXIXMDBHM/+DZFZbTvo2
QRG9TLamV5pFeXhDHH6DYpX9kw07TwEHMdRHJlQAz8E0WnVLsCkri4YNpG1Cf4ZsaG5IMp5GmrTF
9MVHLbFdAtV/YSVp+0qbwFZwOLf9VWPaA1FCBkqlreG06XuC3kXsJ7sn7zdJKoNhV0AYCm3TqZSf
cmcg/zqq0WQxVVf+ZuSYJMvIj8aD60NTMuwW78zQmPPVXAHgXG+RRooid1LpbinrMt/ZcK3ubTDH
zSGkMtJcmaJ2q4BT9PBL3eQazUQybkg7WHbKzM0RHaWk/VWYERkY7KrOQGrrtAf6ZPZX8+gRzr6S
nhcCmhr6aJk2aSa1gc8+sIgovGkXyN1xycnGFcwnnzXJc4BRoVNq/1CHqU95ymj/xGCNF5waU5tc
t8CJEqbA1o+hMMIHHQYWncecMbdr1N20NcH6EvchygZwUNnoateybaax3ynjPuWqET7bGUCm1B8y
LjB5pzhcrAGRV4ux7YfrVvMr+C2AU3lmZw90cd1VCOUp/MRB9lCU4XwkFFcM+5Ui99wQ1HJZ5iF9
zqWgkq7CJr8rVfnSEIRIgFgQFKecQ2RHriFALNWBZOqnpHpjoGO8k8cyP+Xg54wttD3UQQHb7nwp
OQp1PIWlvOEOOYVHNa69bKK/vlHM6a9mHspPizlpNOXN2O64rIkzfLMo3CBF4R0BxHJix/cJ9BCl
+90yFJnryezsJxoKF1o6CBUdr79rzdnutwY+CMhGwbgcAaykD50amweIy6yAHJIWCtLUfkTqxJ7d
LbCJC7w+04Wwy2a/0F9J98sYDGKDy5pOlNW0pOImLhqKY8jjSx5VPTj0LWHh5jc0G4oZP4Q1LFfN
CpQ5tpPnMJ4RXYgoCQDuqZvFo0CIBnDKmt/MJCNTEk0B1O8qDtVSjt8YyChuAsp+oSabUKkWufAf
C64miLSKEJ6S9tMnTbLFE7VoumzMSATGxmQUZVC2KfUZ1WH9A5Mhtaij6QNswtaU322kGAXqwryE
WDLR7Fd9pjaLPRHzJ9noqSi1Lw//f0evf6YR/e//QVTRAKc44nPQr86qQ7ed1TP2309rr97e34q/
TGn/8Qf8MbM1f3OAcjjMRaPVFv5fqbuB/RvmICamjGb5hz/NbJ2AwSzeSaKTGdgyO2ac+8fMFsYo
rw7GgulAQsXCFPzfzGxDb1XM/pfo8T8Zoz+1a3/SprklN3ir6EgZGgO573nxfpw3mPEhHUjONidi
yhkYVXjoHd2e6RoE59oORR8P3MpuxmYxOjYY+HrbYCr1s2ckPQbocH5ucgkIEBUZQV4ad2YZZ6OK
HmSTt/dBYboTMkBJFekES53RUExTlIFoFpJdi8qqppJD6vJ1CAejOQ117V63tuecWYDj25DM1ddG
ECy+027ecLGvtFyNvRE306H1zSMSeP9VzwXORSAC03yg4UynisbGoE5QqKFyK+Cg+bZvrFyd89DP
7qcm4GabL0wHvKCXj30YTIhn+gG5zMykyZ657UxsADAKBxukn86XsqTpo4hVdzxhflFkSJD26Rhs
ghEl/cNUcU2KPQ6hb7lnTOcol+7Z6tP0wVttyyrM7Efby/vP+OW9O2h18oE+gH+gWxEd3bJZDoM5
VbvE8IPkavB8h3YdsiIn9aet7Y9GuB9QcfdxavfiG44hvkcDZmu04640UNcU43JpDN/5wXhvejQJ
y/qeQYMhQyht1JfFLtzbqJ9zayfaHI2PdPP0U0DPh7Av0pruRBOZN3MOriMmeoNOKFm/w6EomSzG
eUqEEHoug5IpIxrXHwPzU0jGDRNtX80Fw67SvAPzbX/NUfkfCBNTXDa7Io0nM23vZOUb/0HdmfRG
jmRb+r/0upkgjYORi97QZ3e5XFJICik2hKSIII2jcR5+fX8emcCLjMyXiVp0A29ThQIq5M7Bza7d
e853gB/ospCbQkfBKbVpNqTkxTL2t5tyLzlZtQenqIMmhPRFb9/JyBN0nb79FsNdfnRhPI5hS5C1
RcoLbW0JBvNc6Qavf1yVeb7uAkfsMvhfwcUN+rzedDMx4iv3anCgqwvJ8kzG+6SAKtaVs0mH0rC3
qIvkN/Q+kbOmRYDMSaelXjZ07HJrZQTX+UPnNvrL4uTJiymImPFoh5WXAkIZtYYu2HG9MadR6Jay
71bc2IkgAod4USpFsDgrmw+a1kwlkgfXSuqGu+/FL0VrR99VquV8JPYk+pbRHNpzDuytD6bGZhFS
oFvDzi4ioBF8FpNS2dhJdQdPzLrpA9o9FN90jZJxbD96L5k2Biedcm2qgv/dita4sQxV0Wbq++CL
g0wgvWMkS9PFmSL3QIRE8VR3sfN1Ruv1OsVgKkMoDlKvCXC/jrFRuqWmAQ/fscrxoBOJZTRJ2bdo
htKvWIuyzpkvV1mHGi6I++0cXIGdtLj9bwG2E7HO2sDa+DJ3QflMnbw3ezjKAzpl2mtFP33CNNG+
B43bfk4J37x1pmXZun1LFFiRTFgf8WoN90yN2s9j47ph447ViY27Rh8qEUVOfqoZsg/RgEcz6FRI
4uvVWFHm3AtiPSGWwdj/PBMafyqtjJAaFP3431OQWoeyiycRcsQl3oC3cgxzc6wS+sWUvEMqvY3X
VsMHE14G1VbaS7Ar89Kd8yyfH7xgSfxtRQxsRNb7PIGlM9ydpXPzAJ5sBJDJY3yFwLh87Yw29jai
M+czh1Tj3MskPgdoeZlSYPR5GAutPg2DwdknHzzrYI7Yo502ah6UPw4XkOIeQ1aUouu46suXqkrk
ZiDZgVoqih47RCIQZnHEb9NsJJyTQ7kCD2D2JVJvP/1SqrG6pDmlZHtlf6bBNB36qFm+MoarfCY8
SWXtsowZfOjReSaQINMJtQZJI6+60tmr5FA4HgNcVYyJJppLrOHdE0+HFqnJ4exiFyPItryr56Ph
TiM0Vb+1A0pn5K+RMvpsZbb2qHlX0+o9d23vsXN6XsLa7CF5EsCZfrEqB7BjPdI6rOumIqe2dzow
2rQDkxVNT063+GcXtRPa1M8ktKbZg/Bp7/JIbBad2AQsBlXVFKcknQmMHLj9y0aqKwLU0/MwQeMZ
befQmHNrY8TRzTlerkFnI8dCEGixCG6bGpbklMTJ94Rs4rVuTfUYi4apPTpnthvG//4uraM0WeVx
JTfRbGlwUqVUe6c0+xhHVT0dnaGektCeo/zYj4O3rNwhL1oSJ9DbmKnAOWzFZGIgwpzuRl1zTjM4
4O0GHNcHi5J5PUgUM6upsNxpW9t2emM3zLFWoqLBYZIsB+Hj0vQT/MCkahn4NC1lLBREzaG8KN3Q
rB0zg49epO+yzsoN/dDTOKkRKnze868qvuG9riRoitwfjx1kIaI3585NOKqasFM5OKl13Ekiazm7
Vp8LyH0pzKd2T/zIrmtRE4aMRF8JGg5OnVdQP2Q4VMOkDPJjYqPT5ufS1DjPWrD5IcsOrQUcCbvG
egCccS+sKoBWPSxfc3YDNmqUE3mZ+yesq9NqhuC+csq2eyiB5X532Hx2dtzZ1/jDN9mMBCD1Qb5f
Rjvei65tn2xq972fkXEXJnmOgNm3nG+1CiKI4/kQ3PWWZW8zWN7TapG+PlpRV2y8WfX7KLAWxFdK
NQ3d+XS6Wey6u0FGAOFyiLJz7rKQ05gvawiBoHiZpvmW0YedR0j4CieKBaDy2lRYVJ0dFtVWDyJ1
8uPEq3bj+116WgLlnPqk92uUQH37EvCerVuyoj5wPghyQkqnvjhF7j+UhSn3jOjRnTsalL+YDPE1
4IUhpt0q7+uUnnAN3cvZFFns7E23009InnDG9Dx+ziHJC6oO8gMRVNB5hPPJmE6m8rbMAu/DUp1r
bppgrGgQd7SGm8AFClB3j7Vo24+Jcf6d13nTmc4ns4AxS+Pb1m3lhskkExTXVOBLcm131FxCfikW
O51XzEqnJ89RThO6YxF/i5I6uRSRYd+kvZbFKqdb3Yej7gh5RCfRvw4Oyi851DiDcIWbLABR/CrN
LKmJoB1A6XiJ8SXDA6jCtEunZx2k3u6qPblgCrOPwTRm3/m+zR3glfk9WHqgVoueW8oz1dAXHxrO
hcE8EgGUtiPZ3gi/fEjJ7jzf+3Hjb+Xsjs8LVqCtrMviDTsfpYZus5G4lDYauxByJ6mxorbjHY9q
vLGIkmV1UFFzrxrbqylfPAY9oFNYqQTR9PlG90zujjI1+mrXd00THXTDzGjtB5OXb3MrsW5brZ3P
Qo700ERrcvRU0J+scELhDIpFNP5JkX9WrGARtN16GIMmWfnoE2y6STWDEjpLzetIMnxKoxTh80ot
eXRWOFBIzO685MAbEiyrSqjuLU4kmxrYP+uB9hz3n1AgB090kfZ7MRX5s+Mk9YOuc9qrDeehh3R2
yNyyhnhlCJMAt9b1L9Y1JVxZ18Bw3gKg++y7YN+k6LFXZ37jfprzXiXo0SkJwrFpkxK9DE7xtWVw
hLnz3WtM+TiQWC5/hJeTsUBbE/UCoebVj4Bz8SPsnKcQxyumpnKH3Md/yHOh6/XyIyCd/GbnO9q+
wF2XgWE9BdcsdUVg91ffvwask8fGTo6Cm+D1YELJFtZ9De0jT1Niu9uOwMVrXrtgJPlA/zFdzT/i
3KkxFwh2vtoskqT3H7TfRuL7gknue9v5Ryg8SFKxCRIADP6P0HjPu+bHj7V4MH+EylP1Elze/Aib
n/Q1eD6Kc+N7jsWNGo32boDOVYTLUFdbA/D0ppE2PxPnmmbPm91bG5Rm1ZvNzFxg8gUCHA1X4KQW
011l5sxdS12NdNE0+GGajrBDoqJO7iJEWQc78+NLZhYIGmevlRilBgHBt7FHn/4MfzJ+QhjOd0Lo
pJ/1KH36Z0GUf68Yizw0dg4rMzczoqijmr4LasY1CkUeMmrZfWdD3PYiW8eryKQCDOcYaGZcAsDv
FzDVkVbkErkEO78ludGcMuxtFPjWAtKls4LvsyOjeYfQAIUAZEnjER8wf8VPWvcQSx9XPnJTTzC4
6KMjfOzmY6bz1FGrWPjWzJEmmS1UcPKjqjzozmSiOGFK35lG26+GGhuKZA/ZxA02QtqmGYLJVC4H
ByYqAUey3xANQ4OWrDQMTZ1zdGxBgpPqMDRlQckMG6YzP5q8QtAQLVEY0L1ZpTImUTTN+ofK6XG7
FzZzEwDZDProyqt7aS75xtJBQh430J+TWQjKKTeLNsKL3qlTg53Jb3JT9V27IRQp/iKaonufTdMF
Sawg5cazyL4wPZH38WK1NHidIj2OSFV3iwElfo676XGaors56axXxpPJvauaaxbe1aQfee50pO88
7h2dxyfP0xn33VNHP8mDhA6sQsCUmeJzjbyaNUpVUIeVUdhb8uyR9eCK10XY0Xf8CDJlvrssMXtF
WYqICVPpeSzzKy3M5nAMlpHaFSB2R3DHkh8qiJPMYwtVPaKB8LeUcN6d503OJ2dB5iy9ljFH69qb
0avol8cpGbm1wagmZOUVBxy7xIVNQ/KoLRW9Jh5MvpUPRIXlMaZD3vZDAHK0NIvbEvP/0Y4S725w
hIfC2PdnhkQAas+uYff7RCX2rQIe6sPcTNNLk9fxvHZNzHOJ2ctDVMTw76M+7T7NzP+e+rwf7gIj
ZlDSRtadhfDhW0327hb5ZFSEnpgTIrFGx/osuoqq3srSg1t76RlISAfldqCXgQjFBmZ7bZr2qDQO
+TXwoS+LgnDnml59YEwHoYkNjnJnOhk5F5tJ/kgYGciduOMVihHG0Z8btrqET6vzrYmcf60A3n+K
RO4/IlY3SDbpNcADktYA/GcwaxNbTOeKkKOrXWOE/InSo3y0GLpsPWcAH+iI7zT8AS0adQbBYeqN
jrBhWsHX7ZNRaeaXdI2d8dljU+ZZLnXlb/uhQm3gTPPqf3M4z3VU2vneJlgS1Hsz0bX2UhSDC6Kv
y8KW0q/JYIBL/P+k1fg/qIlom/7VCfbftw0/KdxDxc/mjj/+yR+NQv+3ALgdDmvoAc7vTb/fzR2+
j7kDJylEGGL9rs3AP8K5hP8bWmkE4DYNQcAIEsvyH31CcW0hArEhw9sxQVDZ/5m3488eeIKFHX5i
LngP4oVNhJq/mHkjOzHLsRQM44bEOC4NpGk21LMTCX2U08g4m7yPtZO01Ya1e3pS13QcUMgc5EzE
7VbAHl2Iwf9Ik9ZagwqQlLr9dKgM3Z3ZJJJ/sQT+ua351+/7i5ebGsHrlD9bACHyETMtsjctTHJ4
SkxvHB45mAdoYQoz+r2FTmf7710wvwNc/quj+teP/gWDoD2n0I22ZxCXLY0H4ltvs6z2t0juqw02
aLxwQW6EvcVZMhPuZbpO+rw6KNbos+lD4lzczwsnuMoYi5CSXoYSCw3UiZ5Vhrvn2dMlt6P4HAEc
XilZVZQ/pbnHPfegh3SDV+ApS02miIyZNJVt7g8vmTJmHHD1WN9VSVHtEtzSZBOa8U3WAjzO8klt
wBAWxyIwq7PbB+rclMv4mvRjRzkHwklZudjMxVJvGwDpZvkxD5xV8zKma5kapNkmwzoeLfPJGavp
INE07XKOlsiBY7VNEValTdCSmViJ/gUAlrlLSoyTS1VKeoq1wpruVghw0yfXiy79PHLY0aSgjOsx
N16ctuSQiWrnOKfB53YRxo4Ox6lBh7ie2U9u0iU+FwWWBx2Tx+nPKaeRniPjyOht8OVbV6C9GhgD
hgg6jzhtjFAM82UyE3fbIneCOwZs3kjs7qiHCX1/H3Hmyok7iBZGVQ0w/bjCEDEdo2VmI2/0mvkl
e2S8qmgkcxTEhw+mn/aLM611XLRbtYhhV6U+nShO+GE50WEgRLSi6CMhtVX4ntzGM7+McRNvvHjs
ktC1uhkOmbof+8A+8qth/+5PEX5PSlUxbDH6P06UUvdg7Lr1VID70h6sd2fUezMxULdP40Y1NHjY
3gw6A1VCoxeR6GATdBPQFHMzur5UuNHBLz1z1yHDPVAX+CtfVMmmrjwSEZQHY7qnjB9IrHo0pvqI
GWZjXPEsQ1IcFrux1zmKXNRDvM2cuzFKapq6vQ//yc76+TTGiclprEMaPBTvGEgeu6xbNUy5dnVN
OAmxFjC41q3XcxbKuZfu6Lihlw2ILDuUKaQLrUqgMqscFJ2VUyiMAbl2Q+DuXZ4mBvpo57nPZUls
CDJ+n26dztd23qdrWvwI9/KUCICa8kGSR4Ys/QHrpnkyMOvQo53GNWfznlNcJ08zza1PCJ4x30u5
m0bnU1a5E/jYCbUBAtYw69NbuDvkeidSrDnB0m1CE75GXbeDq79zBWEvjhc/oAJEs1EEpxiZL/Ju
GndMiut5euwmdXI1ZPUuuR1qS+8rFyGgHDZT+7zk9UXWyI2k2T8kifafRJ2pLXOhDd2kt0zhvPTi
5oxIfj0X5WNroEkiI6ZOig/TKjfdQgRCLoli4UycwPp0boPZS3ak5YQqrdFYBhiirMsk42MalQLf
d22IMJpnuY0jD05pZVftu4VThvtemp8mFCrE84gHA1DSNlKjyW97mD4GQfffLJk60pWwA+p+bEom
lwXagtIPToMDzL1n2BvVGuXX3DGUSXryqWu7JIoC44/IBEY84ubXDSjoez8SEafBDKq7Wff7nKSC
o826CNXMfCqUEtfB6njiONA/NoHPYtE5RmjHhrkbgVrtiZhXM607ad4gwDcPASlLDzVeoLuxt/Ve
VThhohHkBuUqtqUFywIVjgmjKLromXa7sOeN62WPc5l2R1Tw7A+Zg3JlSTaNlhin6GtyPC6BcAjd
3Ira71emH2HWQmmDlhwyfZotSxiQTMOxBp9AajTmDlms2khz4FhBUfxSlMZRRgvrXUotufjpvhwB
+AhEMftmJPHcsKrvMi73eCO6HcMecN6Ubnswba+MlJyNo6J7qexyZSWRsZ1axjLZgGhmNFLrwFyt
vF0a9+Gn0uRv3JwUFT/NBX/sYv4ViAA+2oIG+itw1zIcwO5Za+1R+d9XCiExGFKiYBL39M8f9Ave
5q+f9EtpkXVTmZjIY/dD3Lt7Jwq+Wct1LmDiRygz790TmK4m1yHu87rykppRrf/5K9jiby4WnBB4
LUvAfpHXauKnYahflWNatou1Z7WSREU4wgBP0qLGyKVcG4001qq2sk/0D7p9htzlNrquJNDqzRM8
7/oUjCB7acO+eAQv32djEqxB2lxzsK2yvHXlEu0z7CFrMubivYLgTBNmYoi5zCyCOBY5GPh7qePv
JXKu0OiumvumuOd7GBt0WW//fL1/92x/vtxfeAn0JunGZGQ2GW4bPbTNZJO/RncAYdnyH6ESfn+4
DIIYV/MfDhTgP99ZCzJX0WWTtVe9/N5JTtKz63yBgVGuG1e//PN12ddX5ZfSC6/zf30a5fjPz9FQ
UGinKhV7MFl3S+/an22siUy44q+Wamq64Vl3B8MnOfqdWPZMBYjuhgiHBSfuzgG9sZQnuW75GeYe
Bv+07btjH7G4xVNfrJXiEWbuNdWiS921mKvyzkzJbdFgcK8SEf5alaqwtY2b6VqU1NfyxKFO+efr
vF7GL5dJxW95Lrwxn8u9vs4/va4I9D3TYB/ZezWD68wDclPYGOiKwDPu1GBgFenrPPuXR/l3P9Q/
fewvNTXnYxY34vX2huPy02jcrzKz2JmbKEPlYhrHciZRA93hXX6tcuRIz/SfL/xvvwKLEpIIIMU+
UY1/vvLchJegC2XtbYUXq2VLVG57RroTrfAwGYC0PezNJvWm7X1h1a+3//wFrq/rr3f+58//5ZcD
OK6trJLGe5f3X+xWTbddGdnHoqYnPBvxv/Dk/oyl+fHj4UpN/Ngm6hD++89Xm4yKNB94GnvXbtMb
a8xop7RYMv75mv5mNfjTp/xyTYgubCg7lbMvuskKRy4wbEtn0xU0NP7zT7peiil8l9PqXxYDHRB9
t6DSWCIG+KNvfc6hprDP/MsV/e1r8vMH/bIOcP7ouyhvHHYTLVE+dJdUANYNsG0jj+3tT1lMAEVI
+klyQQ7MUUB3+l+gQtZfj8yOaUrBT9QEscDZ/c9PL0om/JxgfPe9TDWDqmZ41MKxDkpN9l5DKag0
YNZ4iCWTa3jYdZzUK1njJ8Gc+WZIlW00ncH6Wl2UpywuPns0be8sJZ7TBjXiPz8b+68vG8wl0vog
f1+/sfvLa2BYSHKLpeGrxf2pnNFnWglzJUK3iWw0lvMUeBNTDnPftwnC5lHpkEMo6JMpo3x3yxyV
MMtpM5QHytRok1bWuoDkRioJsAMOEd818qKDWReUcLZzspgAobXGLD7MvrfShuo2eqmorXREnFr+
TSjSTOaxBljvQc1s2/b3Euf/G2jkf6razfJIMUczxfr93zerHr8RJx+/lZQW30rqzvnw9f/8r5/+
5R89Kwtxm/Bs2ID8PRoovOR/AEnkb8J2JadSMj0t1/tJ3WYFvwGzJ9TbhfPMu+azyv7RtbLc33wk
cjC/fJ8X0WWJ+A+IJPzFP63Xkm+FsA5yorzG+trOr8G+KiPrzmb7x4zXPaDOVtdFjmNF7PZbwuLG
b6k/E39FgMG+rwpsbsA/MEt59t5b6JsHeCSJV6MlhmLcGt17/MXd1iK08NA12NoTSAC3Moq9sw2H
4GBEQbXt/MjFTBNVWxQjKX55VLTvrYrMllMOdRK2NOW9eAiAnjtdtudrhFWzpresIuwFpn+SYHlJ
Bh7pPk+xy4wbziM+23hsVn3vMNVwy/EDtF6zmUv/5Gfj8OKJAvZzBQ8w5HYoSFwzbrnG89W2xoOc
UUwSF8LSnj4hu3IgFtTeuHDynhh8Go5vlKsyiItLNjlORToTenUMQ4F77iNflbvJlO5T2ZjDK/z5
ZQ6ZNHQwJ9OIwFbFoUeYWYZInjjR2zlr8PH1xoSCvsPweOlQ3j03JSyXDTQ/8wQgsgwHLP/WbA17
he3uo2KG9cWwAXzgX2/bC/WikayZRgyrObfc58hkjt7ZmFWYbJtXVCGaGQ9YxGFmGHI/RHG5aew4
/urPOTccjdz1i+f2Vmd89576zK38Zl/1JJEi+mZJ4jGX716P26hNTAZygzIFX5JchBArcwVAMLUu
ogiiEtspdkoSLOM89A27W8WY+XfC48iA+KE5OAmM2qEdjwgpzI3oBb7DeEwe+kkZ4YhWjvlujfCh
gOIIOKtfRkazNTOfWY5nXqg+jULP18bOw9mwia/HDSYUNF7aap2Z1rAOlsbbS6NQz7qtuvUyGfXJ
Mqr8wTCYrRf4CS7gWGOkkOgSjG60L0mQmZvcT+O91xfmiScaHYTR1lDfMvNLvSzLMXHi6I5QNtx1
KS9qU43yvcsIxjVtAFRZJZI91oXHGgQHU+hqFaU9WPdsGrGJNPpJYwDcxr3vvCmLZo8yG2cV24Bf
ALEh62zaz6apX4uEwznncugZ9fDcEp4Xh2XfUVrIwFWfimnc49C808Ja9Yl79PSW6TcnW1w4YU/c
DXNc3aOlIzhlZQoBPEu3MVKcsZFnPF3eQ5C53vXQPKXHPDGil1aaPkbNlNRMNOS2v+P/pGgITsii
KFDz+ZPAW7PHo+PeEtArW7JHOiQWfqAORWCjxy4qD8I6HbtbtwBuYjU1IvK5wHwbyZEgiyFH0or7
qwvnKWrfzbyIrz9KP3iUpUXjrFMsFLFnNkzaXW++SxyV3Ds1M1YJidK6BnTHdxqTA62cLlYPE8Mt
TRxEUmyQtQyvGhngrVLOeJxhk9zihlFNONpYhJlh12tsiNZDIGq5h99iE92r3eERgYF46guJPxlb
8HuQq+Jx7kTV7KHDOO+83+p74tH/w5zJKJ9UO5G8WUyqcryePiCBKJHykjp1uZmvA83QTgu73mZ0
NXcjHgEyhd0o2ek+Ky9JltqPAxDoI7JV8SlDukgiJJbmkJvi3SUKRyL61NramA2Cwl2PHOqyjKl1
PzSxt0tH1d3Aey0+Ul5hnmpki+e2arsbsmvtTYQMZ0+0kzpZae5DLikWDBnNfJUc2JFJQrSmn1+P
8cm1BuphP4PeQqVJedEwInvEmI3/QHq5seH3K29l1hX3fhObDw7+HJAqlmcnRzAt8glKD2qnHoTR
x7hUiPJh166I+oao0rg1riX/mNazy2+eMwQ9a3r0iHFh66pirIkIVz6dKsaz+zEokXM1nRFepU1r
yjo8BkFn7SffKu69lGamyw93g6Rf7Rr+I7TGpfzUDrBHulbBdlHBZUhVfM6mwv/I7ABpahxlW0tU
y7FuSPaOvULsJcKd92yps/MwuBM41AgcVeHKE04KnqGIoWMFaK3ogPYr1qKSEm5OEYO4/biRRfFu
tXm1IZ+x2dtO6X02kho7c/859XK946efHKwMRGMtEpQA2fAVtNS3tNVyw2R3xrdhkeNXGcxo7fqo
DBhBbu86B+hFF0Fg4tqNPIMogVIyuYjLQ2xERzNuXC8kP9PcdLkxv8wkt0KjsOLmXkQI5dfovjUy
brFeyvxxYQa0LejtbqtEv+RYQQ45iqE10bjvqTGM+RH4o7SBBvXgvul3k07fL9O2i5zhwRqc9Exb
XG/9THfXeKgT4vov/aRR5BFxSmsnC9sJ5UAxT9atX4kby8E9ElYJ2ILQa4IET35Q4TGUfXoSNrzy
sNVMQOk7RTmQO3z5JCA6xY4Iw2OTMV5eRe5cz/gwQbKtLb+DZKMquvBDk78Vc14cvdzrX+1cE9MX
JbM6p3M37MrEqiGI2Ub9QMBrs1vqEXFN4/jUCTip8eXHWbEVRROvsXUS49kb9reC1CS1YYsn0duh
or6SBeIcJmivhhWed/YBJdoKC7oA+rJa8tT7KKu2v0ivGy8qSxgpo6tby5FNLED3vcrxuFaVf+Gy
gB1A/Usf7das7RWYQbRhVjROz1GUfA143V8X11tT9pxxI/bbrK3TNxbE+gHdkQqrzi0IUaAlyUUB
8TDTWNyng1pejbg2N7HMp2NqIzjDjr0QgTN288oOmvGMBMR9b0UWoYaguomtbtpcQ/3CojDkFsFK
81QxQtrHXo6IR7ZHD7n7nU6j+Bkfnd4VCzxJog7yl3Fw9FbIhcmOn5eF2udd3OzRc7oowRjEIR4u
EZm5mKnu2APGXZ9nwy1GieUoKMieFXbi49Qi0q+FH6/tujYPGqwmG5J0b5ahJL/CFwp5dcO9coNu
+RC1a+79+BrJ4S5AK/BLxGuEmrsscXcEwj3NXrYgFlfAR+FAartZC0jX0oQS6zOW6HGm4Z0cm2+2
M1LPVbyKCDk2wuRYx0K8LrqRuEDPWCNPuDfs2j5WFQb4TM/kAxRR9UZAusZRSknhtsU157c0t7pD
BycWRApp4/v3BIYTJhphtio0VrVytFLOvpHY6rxkdnUleypb3MZDfxJi/m5ZLWbcgW0KnTx19dc+
R8OyuIiEBKXWbZBVzrZEpXsCKJDswJ+GZjuyqwSNNTx2KOaeZufa7FfTsB2t6daMkwazJ6oEExgY
aQQTHsiRUVSGqyGcHU1yN0tZsrLt6ZV/BBm6kMt74y8TPCsz3TpJXAIhyOzP3G+MVI7XAw/QWknG
YBmTrNg09qVyEprrUt7rgb0cSYmJGSzKLgJy1i1ezeiek7l/U5BnfcPoOhNhojP3jl8orCmtk+aG
c0hBEqpwv+Fii1fYCsqLPQnr1u3xkPZN7n4Lkig4ez35pgC/oIo0dX1yycEZw7Qu1athFd2ZZTM/
1Es2rttafsTMqvayxL0VO2l/2zmW/+o4qKdKFGpliH1SUxfZqT7ruS6o/JWtDlURt8ByXT2zeqBi
j5ep3OYcnfYgcryD4cr5AVdii6ez6Y/4+QCsG0F5tKdsfsZZXF6mInmBRBDdkfSRvY6mX+9tySAP
e8rObqjBgRGTOq48awNwKmZ0alW3jUzZ6chMoN9gW0ydWJz7gE42PhL3s8lRhtvsFxd0dfOa+rF6
SUrlYifPM1zrJS9w0zo3vsVQn/z4vgf+oOLkPhY5EzQU3gjxl+kjmulIejAfw8gXfDJoCLBM7OOT
lPGpkuAfuiH+7F9dnaLwzHVPQdQ08WGJM+L1OqJbivxtgsV+x4464R+i5F2buATwfBprE8cBjdsI
e74ePxQ658cs0MUxbcaZ13qAWOhaFlqFPt8IBM4MT7NoPyY+AfbYZlFCpgeZfx0HM/ga+9o+pBV/
ihIW8tKYI08zEryQgxe3IILybCtQbYGdg5nnMyHZMirn9jmjczFcf94tSdYwhCpLwqAq/W7ywtz2
mTUcUtHRxBMgzDn6UE6Ak9p3gAfOjN2RcMVq/hRFqqVeSPO3zAoWLkXnm6Jckg8OY+JAILQFodpw
wiHo6ifDWEYUnovUIXm91mspK+NLATx2WytT791pRjCsgpxQl2UqOPQgi75rfBTzERL01odhhmUj
yLY+AzEJ4A8yNSc5CEO65Xm5ZAe9zAyVebNGbLBGSfZd1J/xeIKyueLtSevAm16tBgVpjIJ/6IIb
eJX8fd1hlyrh5TLHozw1j5nXmJtCFt/qcdrjNHv0e58/Yw3qTrElokEo533ry3g7O019GOyqO2Az
BaNhVqBOBqvZBDLyng1XBDfVXEUfBjUTNPO+RBPYuMGOx+NsgmKQZ0Rr+sbrnOJVojOjNnLdQ2VS
0va2YbALzhPRszktpj0soKmB5WWAHixLlvhaFcEO7qAbJmNVK0p9NFMRoO4Pk8GqA9PBhc+ZR/IL
7XYPUj2woGdNibTRWMtvu3HJX0h/hZKVRGqPOnd688qElELCmay7vJ9Rnzjlch8bxnDM3GW6N9p2
BGU0Yi0LAik2EYEJh4VOxUNQBM1bPEfENTejfsGeAhwCvetBzg7q9WxszkwyTEwUnfY2fUc6sIjq
6h7GD/GXsByab+YSD49GiU0rbAenPXsuarTx6voICR3yX/PWrneyFd9VVgZHJyG6IJxnZeOmsEwC
2m0FovA6vDdbVG/acPvzJBdxbCIhtsY8Fy+9m1G5onS9Q9LjhQmqytuoGdzbvGngIi7tMq+rpETM
4hSivctkpy8U16lmlFvNAL0ES03NJvoAJqsJQmaM+UF7BVnr1tJ8QhAD94ESrthj7nHWAaeYGxFb
8arOy/bJM692MltKSBhZ/OykvtpFDfmzjAuH9DCWngjddlyOBeUZNL1lfGESPDwGVKH3vRjZTZbU
fi7EpI7BgIEfBhB7UTQutxBvNNJijUgGu6F1Lltalol15YZeCY8mQpEagPTCoBI0s/s24PrVYZDZ
5lvhWVlN82CZPjsIsOm1pEFL46FzCA6BP9SfDLR16Op9Trt1ZCzbWWb6zD6uX5Mp0s+Itt3Noh0O
Bj587Rl5xgUVmA93I5NHhi9k6PSDS/SNKG7deqbESrs2q7H+/1/2zmw3ciTN0q8ymHsmSDPjYhdz
0e5OX7RvoSVuCCkkcd93Pv18VC6VGV2dPXXT6AYGKFRVIiJSCrk77bfzn/OdeHi23M7BFJlE14Ga
xKFprcUlPJQ6L4tFBNJuyURCmMjOjdRm6owTFzBEr2rfJddykxBL46X1XqsRBSRKjMOCaLU3Z+7g
/D2srcDbOODOcAKPp2s6sigGi4v2YOW8SlanQXkYgACoXq/PyhR7p18snfNmALvdTWSxIJ+mDgq8
a9R5h2ZVscKKw2LL35rx1nCm+zhIsstYUWBhiwlc1KTgonwJmv9l+u/6hX6U3BE5zTpIyb994d1r
9/qXf/C/9NPb/qOZ7z7aPut+lzTX3/n/+ou/qbAPc/Xxf/7363seF+Rmuib+0f1ZoKUAUuIT/Dth
91D+RdL940/8Kui66hcY+jYzEUs2NNqVpf+boCt/QePlkkVTxG+Gwt9tiKtqS3MKFaUuTGgi1CjL
vwu66hdsBEjA5m9R5n/JhvjX9dsq55qrD5LFnw3SWpo/rVTW7ERhZyOULCDQm2mkBBb4Ix3IFolE
I0+msz/9ZG5+Xez9GWn97+Xj9evxBW1bmfw8ftqJZKFsU4c4oL8o2tMXFX6CagG3OBIn+/uvhM3g
30nVLPhWyyYpcdu1f6426h2bGEYUjb6wyG2FuW2Dng4ji5FBVJdpQOtFT97mAMKu2IU8J98BTg83
bTGlqFeK2GBtpNaZOWPFwrPUKgClOmyeKEV2GTk8x75ynNA6603Rvs0jbP9ta3GcQlnyMLRDlJ1c
tKbygyA3PhgvtR5yD/1hT8d8bZ13qjFv4ky04baNl4D4gqs+CJ0gbYDMHYAWZP1nj3D7ETox7dsF
LrwyyJYb0AgOvW5gfQ/1wL057bvhNuF2cl6b2hyOtUJZAhOr+VZ6Nwie2BgAyBQYShmSUETDTegh
Z0MdMtxDhfmspBIlATnS6xFHUqsaQdjbHZrPHPfNmds6Jzfk/WANvfAN2maL2XlYBehqh3wVnC0h
XK9Y2AWZ7ow9veh8FZjDNoyrZyOPki3bsdtELcWhsN2LeYLhSHFlRCoDB4HURnMx4yDYmj0dgoFJ
SWBm6QzZxKGDm1BE6jNKpGf0gT/HumeGnqj5nGvuZlg7MLIMLjvjJGGu19soSisATRSy24aGF1nQ
l8gFGhTmphXGHbrpDoMOsWJrig74gNWOa8tJ1Ji90kry5eG0bkwL2wiEJfyOCf+HHDYXzfIIvFwT
xyQ3UEYU9zqKLy6cHO6LZ2IvtFrGA/IkbLNfQ5FeUkmYIt2Fb2PAWx21aC0XMw64v27LtNlRwsC8
IPG1BCq6hwgbbiljfrf74MJK3VNdJtk2s/KDWeGBiwmNbkUrbwOZTtsyt94TJ9/L1IRX3HcHaSaf
0BhYCAQ0TvIPQ+BdkXD8THV8gdhxFlY0/qTDugaM6vsQ/gpGlY03D+dRkB463BUR9ePruMX7bvLY
etQB5LuLhOs0cGcVtNd1B0mTju1iwEY/Qk3cyDE7N/X0geyf7NKpcfZpzovXwEIDyE2t4dCN2ocU
km4Wj97WWJN27JV3RUIgvJLB9BYF7dMUCrz8gnEtlSk4x8B4CGRI7tI1t4tUAabdli4juiK+uoVZ
g5yj5pWMb+IZNA1/AcLVcHgLarDjt8BWwMcBKWSsM7ZELTeqKodtbvKlnVEYEAs6SK2tPW55YW+j
fEZMKjlyjQycH0Y3phM6Yh/IFhPtb92H0eRvWlBqSNAcgKJZvWmW3L+u1//Lzs0/H5v/kygh7DHZ
56+lB3+zNgVR1jd/OWH/8cd+PWL1SvAQzlohAwRHUSXw+xGrrV8s6t0E5n9+Has/ho/fnf7qF5tt
KIcyf8TDAsgv/XbECkFuQFP8QIMRfn+Tk+P3AeO3I+7vWhzobPjrQUR/jnSU5F/Iwbe2nv90yFZF
CmlSWT3mCQydfQoL3hi9Yz7k8MH09Ew9XEiKP8oYI1OuumX3MQnxRIXkM9t88y6oqY0ixP3ezUCN
0OB7v5scEmaGBVe/q4t7Jur23B1CMsasX3fc7FrG6OSWejvEXTFEx6LlaRWG1RUpelBkBAx9ABjP
JaS5vdPP5LPMj7zCDDHT/piFNuOnTtRmSY13FcormE0M/aVRf6cpibCWQ/C7m2faFmwZ8FXD4Tvs
tyMi1gXdLgPRujHHVOyENyjXesfhwAqBE2tjyaS4qGi4PO84EWhBqJwLeAsu0pGrQAVAGHsMdPhg
xunrGDV8xNl38iSZKaZ3FdgmwlyrZRjKWj+TvBaqv8tnkGlNqi4qHutYYllFL8FccqZrIkA1GV29
cfsZk2diW/2n1eurdgYdQIzPvVXsore6ipDqkQ9mkLDAyOvi0k1KvV2ZVG8SBMHRoWL0LGpFtWvg
V2zLUbuntLEqkGih89Y58/dmIjImcfOjI4NZFjrj/xWyeusdbVwGzoCddlyhCt2Y7JbMVpcLotPe
zsuPxOrGg0EugQKNhBbTkEazPrFgKJiQBFIXBnMaAawfdd2c1fkk7rx2ea+qAEIUXafXY9anz7Kc
n5VXRYSMyXe1JIygsZkXLMt6ZCgV0bBjpBwC2WdceOnRLfV33WUUGQ/89qXL5giVEXrskJvsXiF/
8LsygvFNdB672UPsOA8ulL0zIAXguMMpfgCl0O5Sl+Zp/P4hrNQwu8NzD6s4H1KKDDXptThqt12l
vrkyCXwXlsNln9RPvF/1x2SCwzaNIr/ivtcg0bK0G6r2ITCCh2iefKeccnrp2sdk4cAfCI4d2kKq
zWSol6yYVvB6e2fZwO0BxFQbJ5HtPu/L7tEMWeDYjnc3zNSdsBFFC+E9y+cdtz0IznbI2fVphKkD
ntEwoItd1A0KeMcCJogpGQvnprpRzlT5lm2Qg2vS7Fpj4fZLFY4n7HLV3uE9eI1iPZzhXI1pemNM
yKLooYl1i2RdXfb4WMnkZY08p+wpuWsT5R1EJThr7PYRVsF0n+s8PBsxrHHD467WKeebRTL9kJJj
fswSjkNeKlzJ9jx0YLDwL8ASC16ashqQNER9AZgvPFvmEbNcADNQbiw4czsoFB/AWxhqy4K9/rTo
K4c+59twcvWuYnryJ+zc2651zhycytdmE7Q7TBYsbvRIUsKiHGSuvP6aHg2QOLAsf3QzwcaOUD+q
R3n0zAQKW7VYtwFm411vkIWcIzCvnalZQraBu0U4inZptyZnncqLjyJaDU15RgpyNkxnp0ejf5pb
7Xzrw9491t4cPGUmfVpkTZO9PZjJISabd0rcej6vqUj4puOqvkDPYPaN7EXcZYtlXOmcZtRcZ8mT
U4gnM2q6fQl9GhBEcUTTvKm6QXwMlTXcxaMz7oy4pcRKDohM8cQ60COqiKJevcUoIh8DmMxrt5JA
OWZnPHYdlSP43eytAaECkwpaKiShK8pQzsnhip3rkEQkugvKHr8o+s/Ww0sw0SvDJzcm9ZlPKfbq
IXLPV4jrzbgE1UVgdcl1RK/QtgSj1zvxcMhVVz8RTehJvufNFZN9Dw+cdHAfk5bOW2TEIVmSb4Pm
28jGebkLouV2sgtWw15h7cp5jE9V0t9yDhmnnl3SHu9j+IahZjlamfEQTqyOFgk+sxRFdw1Fzd55
VMzv2Mv1u0LEF9xY0rs6VOWtzaZgk8eq3zQWWDXbdcUGwmhAk6I1o81xNUU3N/pdBycXDInHiNqk
zcVEZQM3RrJVQZ4xE7uSp3Bsf3CTLHbagfhDfvcWxNqPWHgzBogRFoqGLD2Z4LLTIQGs2reLP/QE
OvOA8t6yCB5NVXIqrt8DrY+SLPyot2WnxZM38GnOsET6YbDoSxoRRLKFqQjBPJXh+GaEcCzpxxib
B1F5n3abXOYjWhpOV/jWoHOEdz2AqOP6kBJcTrxovBMjDSeDlxob20ju3MmqyKw6yWNFhs+vhT0C
DI4e2csfbGPMdoB6mgInn37Bgrnsa129lxNvKKfNHoY6dWl8n8cdOOurZViQo2vsJJWTfEOEEKfe
MPS2WV9pwOgBi5tQsMPi0dPp4r0Qy1vvlt8Hl1XBxiBmAYbKjXwXv9EqesZnUxDeUO+NWGkSCQ6l
uI0tB9M5dSvbshjEzuO+umkgsW5U4gJwHdLmgaJD/C5tWB8cKiuOcq3ZMXgKOcDrCY74Tme/zdSa
jMp+p8oBhmsHpDOW9vvXAPf/x93/REta51bLcRg0/+Nx99+avnj9Eb1m/+ufVZf98S/4bfB1fyGl
yqi6ug+xmv7DLMjgayuqDTUrmJ8SrvoXxdDL7xbC1MoVTN+/z70OghSZW4x9RGWk44p/Ze6Ft/fz
3EvVqGs7ChQAgo/7s1+3DvNqjmFpnpqYxqdjv7TptdvafbcD1NzhemN1lBxztqf9xmXO6BBVir7G
MxCJk+GpxHcs0ZyWqLCdSzQcYKR0Y/DfLUbxlyWuCPGFHkQ532C/f7aUjt4XHICm34x0U12Vts32
2lBz9YLmxGOotGLA7lSQhpR/Eyj0fHzG7iNLVLW3OjYqrLoGH8EH/03sKejmc5r6AbhK8uB0ZUCO
FBTXbJdRj7fa6nE/0hkyLFsx4a841lPSHJp8GWATDMXg3TBWEFlSVbWSCGwrvGQTqG5pzqkCrpkc
2PB8Rs6X2qgJtkovNz+j2Czhr8Kz7XZKGequiAKVHTQp/OdawUk/eF4w/+BB37G8z4JdyxKKhwik
wR7apRpe6ZeYTjakEHALlRO/KMNpj02gaBsdS9O8nUYHKg9NVyfLwosEE3QtTUvA+yIbj4CvWJE/
W2PoQSNcBOs/YZac3x5GDurVmxQU65zkto9NQl6K3MJ1N6E9yTxzD/Wi4uVKxnlv3Ytm5Y42aq7D
PYkNqZ+GrqhxGJJX9jNNPm27sCSuDzhIsN/RIYY4e6rb1javvfXnkvr1IluqiTKXdGMbzRBUIXYk
YBuq6hk1hLlzHtYfVnTqu4j5qahGn3+NOsdei/Ep9fIZ5MpUhKzLosG6hpMRDhvDxUOUjEm9s4KC
GGhvTnf4zD6TuZ79Ik3FdqSckSA1chTF92LT1JYgvtrO24H995V2YbPkEgjdvKhuH6fcmbB8TDb7
ZWdUO6l7937Q0wndEA8bNGnyghBMfNwF90BI0T6y4UlUEukOOHTD+2ML/OLdyvNTMTSncQqLA8i/
/GC3WmwnpChfLl1xGeKjOXN429zleOtOcMJA/0vFj66uPaaInEBXWZ31Tn0RhYbaOh6S5RJ4l5hk
yXQocgjFkNcXGaxbXlUVvauhzQ4elp4nOEbF1SBT+9gPnKQsVJhTddRv7KEFigIryCcMWt65dORd
NcXUbhWbNn/RLuPCFJkBDrDpnqIHYhuQCU9zjx22BqVwVjlQz2JdBmAt2UnSy/VGaZO8r0srpeU1
BK0SimDvYKDzVTFCV1Ha2gwB/edW11/WmcPYGURseRKICg9ZVN3gQjkM+F6xNdp0pzRJ1F0H9DFQ
rTp3XzaMnc3pzyr1MMDjBrV4h1U/25iucV8U1UffxzfpaHUbO7BSP+u6DjWoda85FcNnalv6XcSv
bGpKKZ6VpSseRvIBPMRWznjt7Tx4Bz90sPpC31APan40CQU2TOXnleP2G2uEK2dqlmhNOn26RXfe
wyDb1qPBK1/JfEtZzGKsxq3NkvVggwO7OVBBhIsfPPV+mcv2IonoXylaYIG0k0/gvl2cYtAEnw2+
732SBAtl0pjGEPnGS2Y3YTJ7jvdQxe6dLsC+aefsns1sYK3euL6nJq6QcipuGyxyvuVCZWcfuFwt
XdorUrCTfYwA9pGCNIZ+5ySo7Vv8PbgKshqDtBmI+RF2CdQaGYxXrLcrdqVu6uvItn90dfMJcE3u
THhcZxOQm31EWYVPEzmCXjrkNzYD9YbLkgDhJdM36GTF3qRwm788AfIbtXKdIDN6R94JPAk7w2x9
3GDe06hF+F6lw/jbquo/pAqwafn5dLJNDCXSJkcnFF3Ha3zjT5mvEgB7BBoxOnmiHSi1ssbc2eH4
ma/bIpffxrJTPONKssCjrCEbFQQxHoramMnV087Qoy4kF3M5Whb3TxtKD8gavOjrq78tPUhPm9Ec
yT5GLkwTjMxxTuzXs6KT3efeeD0plrnwipfxkRKW9G52TaghbBicwT6v4sW7XJY+vYk8IF6qroJ2
YyYSu3QnuvbNkGJtk42cp5Qaju1QpLPcuK5hr5Q6/u24a53xUgd02I2jOx96nu/nyPTTPotWfJJE
vgE5qLnorHVZgmIFyDwhH/uge9SUDOBPw3fdAC3gexxIhnXMIasjE0wQlVCbzisx+6ml2jojIdKj
5zQG9v3BokP7wMKLTeTksYsAC2jnF66KPV+DbcZiOBgfnguZs22FOoH7gx/eKNO4S1On8ifsb9dg
P+VNK6Pwvh5nri0NpccxkUKrWFD/h8Qqr7k42xSLGN41a3n7qTAquWOar0kj19U+6ooWRvxM/MWM
ur0MvfvI9opta38vkvkcA8Rr2VmHPmLzBDdMXVXJ2zBQ/U0BwUUJWIxemQWFHmPQXWSmbBVKfnDM
G3QFrkIyzjF8UmYfv9IxzAUNhgGLlgHiX8Edoo+voiCPaCOVzs0QR0dXwQTlWAHX2DnUE7oV9mfy
3fVpcXv83XPVDpR2wE/gNls8J/OEw0tUb2zj7G3TKPYQi6ZPh/fmde3W1n0Me8ct1XRXcgP4lGMP
J7izWzbM0KAMCGd2sJy83lIAQwDqF+8Z5rBnulGB0Hipq8ltKcwE1VJxUXAn256e9DJZ/Q56R/U6
s0h4oZFALfd2YMDSmyvu4Fs0yvoFSn505VUdwKCocN7GJECPrIaemxnMgjf6qduYBsUBdd2i/E0b
xDvdyKUMgVKBewIH3Q+ZCb1Jhc7vRUGUAE0oXQ42QI1tVvf2JeCS5rIve80uJi7C79jGwztTdeqS
rRsTQT1yzvdjyPoFvobjGJjqU0VRQSydV6Zarl20sYTWcTTr7CweSebzahK8IglhpHcgB8dx62FH
inFUw2xa+1k6qrwZOFqfhx1yaEpH3i7kiQUhq1n6eosjOLxijaL5cYqEY58qO99CJbyj8it/4mhR
H33pgFJKWrRdhAC1lVUN3jZNRM4HoUeMoNGSp58Xw9hiV1Q8OnaSXqbYyK5wwWLUSLR+7ltpPcS5
ouQdsvndYqSMPNJsinu+jfQBFhivbh1zNC0qM89oT2KBUysbfqjXuhdRCggOJgQ+B/pXWl804mU1
CZ9FrkWwHrdB8oILzn2eg/FzqHrDZM87DEfLLPYCaZknlp3guUzn6TsMiAZz8dTT+dbSsvfamtFw
D4dVPQeTC9MC92xQIbTQPLqJ6dw6Umcvvy8pPQgcSsYLtJjkDkKXfq3aenqw6BS5SFh0p+D2sYut
UzjZ9IQEgK/MDNSZReXOPpaLA3FXJcfK6GGLSShok2/3KeKIVcbhuKWua/5ueo1xNZpVLjFPJYh5
ogjSc0Ml9aXq3XFnAgp5N9GGYj5zrfcEq6LBxamFIc/LVNBNGQszfBb9OMNLqKY4Jy7XNOg5HBYv
lN7n9/bopacxAGGiQpo6vZak0K5VQaG39JAKuRkH3Z7x0Gv7nQkHNWM5W+dgYqdRfEePnNMjmKjo
bU5KeBP0Nw6XFbW0m1oEa2Fu6rZ0HjNjm1ZFG+M88XjZy7Fz37FGWBdB7PRnUUK12cGVYnnsmkgg
RnYwGuxwMr4VrR3ddE7hvZWT1d0PFleoaX1Lcnmib5k3QciHMCc7zUe+5j2ybcLCwXxbEZeUVGRv
cMevdMYuZAnhKRXedLZm72XGxvVMk65g50nYYjMt4Pe6XtHu12IWgizWmvYV+E0qGWQmh0uyOP3L
Ekn5Fhrt3O55y9cfZDHSk1U70DwhkofPBVWAep9GbnjquW98ingYdlFO4ZOfdzESVh27mFSBNNCf
BfT0kXLKZdwaxZT7GXYwoHIYYyDNedjG2c1NKTSApTtvm0RfJ16g7/j5FFdjRxYA/aV5yesRjSeQ
Bal4hpcKF21NgAYgGd24Xsf6IDBi27fCcTo1yhiBQfME2CU2ne9Q60rej0k1ldeAXOLrPhbhsaam
w9uMLEOODWZNwLPuSveWCeucbYRWWe6KptOPWRGDRrJL9xt9NvMb9xh8YTSJKIWfcHZm3gpUATW0
5lpbFhPTzdyMz8I07wejqx8gewLuAT1cXveZaYKkTqfoOCzCfmXB7/JLc9ZdxaGYTjX2Nr+aRPvc
17L9nELTy3fGWHr3pTnl9wsE8scZejYFKANCKvSDaFhBrdF5CEYq3TMIG5dhCUFm31N4dorCxCA8
IaNvzeCIs7mQXXOWxhlKLKozPi1An+MVUKLm2vXWFjf8BHdOnE8bQostxLrBA2lsTvcN49a0s2gT
OXFVwvhkTTI7FcybzR5tM185s0z9eKRL97q2MkrtYLex7fWG+WDWo3wd5qI59ZgUr0wLECG7FsIA
tHOTUeC2xAQWtU0bbnRtTDcG8aFNnNnjDxd56z2siEawPPHyBsDcsE6sPCdeuc4CL+QK725Z0dU7
+OQI8ZM9uoxFyfwYjjRubfgR6xhDP1rqRgKNA+BADcmwqflgUxuDy20HhrM+JUvfPSg7S6ydCiaI
hqCAoTaFBotky1L1pWeo6ZCtUnVP/dkzLmAM1LmRO7yHKbAlORObs9zxPJfndTd1+Q3AA6aAgZtw
fJhqNTNfuOWyobm08gH4idKXVDnxZs70gre2C38szSLPWw/yo+/V08JugHohXPON15y3SVbj5x1h
0pxRLmKEJ88FfupD556/V5qxzaRo5ttU6/rDTkfvZOJ6frJBZz/qYugxnQpzPIymYZ3or+4OgAn7
01yw2lmMov9MrXHmRixVkmzjHCb4tm49etqsoN13E0BijqQaQ9rMPc6MqWASLtf8EDGFxZFr/1Bw
ZnuWDZX9sGiL5g3BJTLUzpkbD2o/Z5n0i1Yv9wPV0lcZ6sxOGGm50UELYi+ekvKudXTwo1wqsYnt
pr7PzAmzMl7vfs8CyOC+2Mn4bkGU2rfsVZ+UNoYrEJ/TQ1m5xYmr42rJMErzOnZHb6eLiuqZzLTP
Bj7wD3PH6I/dbj5CoIm3M0z6z5KK92tbNPYDb3sm4USdWSRhTxPU4+ewG9Q5BkX6HRZrOka27E99
SEyS7qziIPAQtq59z0ze3I7uRIFUGKqLqJflMXVi58XklXsLJA4Q7kD2njKeZhcsVnpR9UV809JY
hEwFBrrNid2NNK9RjybCT09F34LJyI7KrjCfZ/LAbDeymjRCf5Z2c9FV3YsesN2AMhwPOqIKm+1t
umPfzHi6eE+aB9ZlEVXjyW7jH5bL+gW1IvVlg5W0kzbzgOjPxJfrFmjKeeCBTe4KSslDa8q+J3Is
LhdFL5JmP7xuPNtjmaru2CUJkJcOvhB/nxZ3vMK6pA/Uzertn8TRf+In+wlM4MJyUMQJWK0rS1kW
Gvdfb3FkBLpi5EFyEkMsGDvXKc2TZXhVjYUiKsZbiBAy3jcoSbLap3PvnsYc88l/9o3In6x0fCeu
Yyl71Vb5H+mtdrQ/3SebPqinnHTmiYaLQzLQQBxpOS7EKFhzXHssapyb1ExdqqGXfGQ3WXL/c7yk
s/x54PMdqeFxnMAIPA2zaMJ9nmj0M1zTef3q2Iurdqo17Ke6E9mNJkh7uTgye/aIIyNLrIJcPg7W
m1vQ3balVqR+Qv6AbdR18l4Mo/GjIXKBjc2jl8KU/coXDOPnLmahyiNOXWozRhTwBvOJgB9vlDia
boGXJd4OJVb782Km5yrqmp2cS8kgIcPrkaD1tsPSdue6+XxuTJO87LOQ4xBP4V5O2bOQpXnbkW50
R8vbilW0xD0+/6i+lEyKC3hCGkRIIh/J1b6rvmTP8EsCdW1Bxd+XMCpU7b67nuPdTHba3C3hYj05
kOGot8ABhfy1DuxTR7qECBy7xnjlZ1MOy/s0+5rura9JX39N/aSFuAHEQzr/sElg+9xSvevk655g
daU80rU9ESSstTjIr+sEoR7nNV6Aqtqp9oiki2/ku/pTNZEpA8Zj++lCUZ6R6JL12HpnGb6uL956
k8nXO42z3m689Z4DwqKLfAI5+X1SzpQGWCM3ovVu5K23JMyK8a4hK3VgH41GuSqiW54mxlv2dcma
1vsWeBznTa93MLHexmYDebs2I65oaDlc1yodieXewUryYouseoWVZLLkmzs5QQep+SHZZWZfdQv3
y8MIZs3hj9TVcxNUTvFuRE4f+5Hdh5+d7Mv65u8/r+JL9P8H8IUPrIslEyqULdhPWKzZ/vox6Qsn
GWTEcRIza11WxhRelGNc79pGpicWqd6p9ugG3gbsMf2pKa89eosvWC7j9zOccTqju43EX71Qt44C
UBBGpJzljltPWewUOulzkw9EgcJY1vdqpHingh2PBhiPvuNO13kW4JcYW+iZFIORec27joXCFPzA
Nib3Tlw5Jyeq01uh7QlJ34Ft6Fj39ANcFyK40UCJCIGFVMLIYG+Z4T2fcXll5sslFzPNOlCZA088
E3YOel3PkV17zjGK11LRzmFA5ewwj0OFud9xEvNGloQt8RXY4YPlOjTZDYn2Q7izFArIclyrINL2
iodLfeM17bRvmWQ66H6VgQcV19Hg2xOxoaU2cwycVuMgGTpV8e727YpmZovfZ3Z3I/QAGS8cA5Lc
mEuVvWQ7Tagi39A5DUCYrcLLZMMZ2Y5UE+6DLo2I5mKA5dRVLjuLpAM5OYfHwrP5yClnJHJmN7C1
5zwZ3vMAOPM2A/l44CZcAH1u9ZzQLdaw8Mf+r49kuIPbYNDRW27BGuwgQ/tr0d3dhDKCUhDj5Izt
4SxLPOJKZmxdIS0uvCsZOjPKNc5TDcSeiBR1DCg4W8uAxJvGCRz60q7qb+Yc8AkISSkMeFCgKbF3
x9nUc6QtNFTPbt29DMKKHwxcPI81peXHwFyICJVDzaNpGpPbpe1Wjp7CsMFTaqtc3DDgGysf+KJ7
40YWsAezTXmKRpqopsdP5iyWJtVheecEF3O6mAeH5ui1DCSRF1Ve3mssP1SqIFDgmOIkWqJW3TpG
E1KXQ7Ef8g7FLZtEFp13U5CCJY+7LpGsr32S1U093Y9feyZzXTk1qLrLNqzWTVRA/XO7ISCUpD7e
hzfra2ul2V+Jr01WK225X9MYj9nXpquAfAYBNR65fcY8vQvsC2n1EqLuxUeJqS28WqrKMv31HHtX
/Tg13L6FR93cum1LymHsN1WDc2TDzUA6lwTCmlOTLYk/0jR6qkXdMVfXist1rxekpk4naXKkEAp+
9YyAYe+a2CrPZS9J8dRfmu60yrupbT3XXmV7uCmImMXPoK/4gIiEzZAbn9XBspymQRMrscp+/a7b
vc2i9Xwid+i3Rmkfq3RucRD+sXX9J4PFT0Z1HlMWgwUPKYV7z8Kl/9fHFFzyPkUSdU86tKm3vq6x
OFTD7dcX+ZcW4ZfxjwaO3Wf3lXb4I/3wZTj8xz89lDn/+fm3rF/oj9/z3yMvYTEDeUKZf+vp5CB7
7bq4DV+b6M9hiz/94V8X3J76BeSTwsfvSdejjIKX4dfwhGf+Ipi19K9wuhWH82dnp2Xi6QcRpb+G
sn9suC33FwA6Gr8GaxvHdV35r2y4Xf2TsxNbKXdbYUGZFppl988RAzNIYDwlw7R3VRmJ/WS1DctD
tid0IrA85RLJRcNvKN3isRQGM1XmbkVFKRGiyViPAwUOBKwdWeKU9mn2IpuePoILHC/ZfRqPxoNt
BdEpnMglOHkRnTe5C0K0sd38gAiifVdWBPGLNnpH/gYBr+fMA/jE7MMgg9gMO4CnTJDBtQGcqBBd
hIM/j4vhrTOVObvN5T7sKdNdjGOW5z2O9oGJpqe55TzydLGdPNsUexo6aRuCO8ymzM1m9JJCjPUV
yxIMPD2F1PeBHWfPtASH96XgIHZMkbxh6gov0VRRmGZjWN4QG+zvU6RcZCcsvyOrqa220pOdCK7d
jcwcUl8W+1f22mQJ2ja7rpY08QuDn04hpvPQpNjayiOBKaURnL4Z6eI+rnas/q23VVtlTVPCGWY/
EacXtMmlbyONUhPb/owUammE32B4QC1NXB7e6JbU+e1CMRQ7aBDczWWq4NVAYU2I3Z8lvADYdVFz
O4aWc1b9j3NcBCwyxcRaaCEpQilGQW/IMgH7iNSSyp00Hfeyd8bkNS5U/kHYF5thM8xkSOpiwH1G
5rG94NpLRNZuDcaQfBH8HAZKs7ZOwdMzNORa1OSM4WXnjfps4nr6ErVB22H2BwSIoy+GDCBd4WzZ
utBPk+WKdgcTyIxs+TrWLIuBRPPo6S1cNoD5nNQF80RAr1BJLoRIP2j/dyyCtF1JFozHPjb0gQbk
mT6k0JkJGENvAhIC/sFn4mm/dZg8bjhu1UXg9O1DVETlawjaB1s9W31I0iFvxS3CUPWjzu35pdXU
X9GnDHRtoxNK3ixANdVmsRw7PSRJ0dxbdN/eKGUZdORWo75I0pIuu6hmrPegOoitnrzm1nOK6bFV
GDzwlZnGB1kDG/OaZTXPyk3zN6d2ygMeEH69FHp8oAVd0nXcwfHZUGUbzccR55SxGYyowHKMTXTM
BGbbjqBhSL/bo3bG6o4KuOUkrWL93Kb1EZHMYEYCBI0B1dLmrma9X5NNEelbyIdr/aMBepFqMkqf
6fCh1VwNjkeWOHZuMuxxEH1VNplPYT2bz8x5YHHNulxWHwcvoMeMVB6gLMPJlLUZblqzGa2NW3vh
caFKgZWw8xFkYnkhj+NbQYmveJQ/ykF7CNpp0rzZ7sRu+P+ydx7bcWPZtv2V+gFowJvObQTCO0YE
rdTBoEgJ9sAceHz9m6CUlcoscyubb9zqJpOii8A5e+215mImHj4PXZIvqzYafATY/oEDujxGrgEf
1TL1fS4yStMsajD80AEwDTy5fp5qBz9wWCNz6C50qWRoij1dHOytDdYePpURNHqMBhcMnH/bcYwI
Zo/Tqqiy0u8YUhdch+WmpXl5MelO8OTpCbbpxsBfarPB9BWtrVmENLKs/D4UtOtOuUnVFf3pmi/6
QRQrHYuf8AklgUVpy+hxcqLooKYaXOyqMQBuEm3sXxTeKNq60g1JEXFVtZ+FkUBBCBXatSh2nnhr
T8KqLhiNxLjO2wSDnJhK5Ecw+Kj5Fg+WlsT8uarSkWtIXhS7RtT1Sz17TdGu3lPRJYxHkud0l2X2
AdjTbA9syUQvJo97ZaMnp4lITA5ke+iezSCUR+o0os9a5yTZIrfEtIJShSLsDYFLQN8RauwTi3Xe
WJxk21A0b2oVwwhz867Yc5RYpNEQ6N5NJSRIpsiWHShhz/5EI0bY+J4Vjtay1lg/+pSzkOg2+4R1
Kz+n7Wzp6IpgqSQhbFTyL/W30STT4vdkzdDDOGXMTmylkNU+sGO6FPlN0VlSUkS4FH2WNhuMM3W0
peJNX5ux3ahbMeU0iie4A2HpZDYkUqq8M/oqSDSQaFdl9X3oR3evNoW+1KAGslKgPvjUeFl+T8+j
IEocx8My66vqcwy1y2SghJfRlFJ/Gp0CudOuUv2oRoX+iPxZvTgw3PduQhpwETkNm2y3DI27snHz
O5u4yGNFdJdfd2Lz8nHqDvDYWGqpgEbQnUaCuBNbIDN8woGliuVQONp3tVI198B3GBkY2i123JE7
up8bltDA0wjZnXjfWmIbmDo5X9lb9gPPJnnshEf1alDoa/CwznII8Cn7gyJBUGdKTCY/mzJtrVRF
fEzGwHkeE3qxM4zpd2niqcDUaTAj4h9fiFgS7J007UI7PMAXVrNPbaimj6VnlEttbD+XqmM8NKhB
lzQbMWkTndtWllAf0LmVb3pSDJCzqB8FeUQBDC5c3LfsFYIHoYZMH0X8UBSqcgkKkM3pmNNH01Hg
fFESXfNDUk4t2KvcapBVJ2jbsZrnAJH4tUX+6CQmreKZO8yvhMwoaXvKg/VABQ1qo5O2fj0VPQYQ
Mg1MUOwbsn56o0o+XiqkSCRrb7CehZ3VR1F2zqrs7fhL3LBlKcNpM7TesAliahEd6jtfg3bEuuv2
6c11enxMFdYIq4tyuHk9VErX1ZVV3kM6GNsIADctabo8ORbAuizqCLe7mj64dOulWrZGn5k9AvTf
QmF3zV0b0WhH3hx8hiKjk5eqctXM9mjhhFCC0yKlB7o2jY3JA8gvWFE+WBwtV1PJDFKWfZ8GiyjF
zFuoff06sfE5uXSFJnis64hq3CA6h2qn36tmW1601qPZvQmJLBIoYHttRWPlZ2aqbVAP9E3iDu4Z
WSxsDnkdqOwN1Cg72YmTvbLsDT63yN23xqG6CegZJZC8BlJi7VGJj1mjHwEhYJRK6Vthm2eXeDBz
gAboZZzfog+2sm5ifBYI9s/6ZHkQkcfykpZzts2sqYZfGLVmvNoAs3GtJGH0ZJt1JNe95xbKebBI
bZhhMi1JugXBxogcJnuWgWO/o4e0LgjvJPZzp/COhIDQ3ZywqqBWCe2u1yMdH4VVA3+h/Ebd2rkT
bmyRNZ8R8IurHEPFW+phG+/Z0FQHO0p5r070oB2d0RiPxGN6fHOG0l65wPZodF4XvURaQy181ndk
GMw0Mh7UZKieDT0pL17NBDvYcjq7rY09j2OLvgerwlS1kDLGeTMK571AmKd+I9LHs0Ksc++VuUoT
rjdQHtw3CtZox36bJhfClYvn8LWJGsq+akjxK3Msu6+JjrCw9gw2BD3j+zYBHHjt6Fdtf/yUFZUK
fmlWEBk758EgA73oISI98+ZEIa3ivLy4c6QpqsSjlWa3jE4JOg/C+uiJyOQ9G7AsTc1O2eSC/bCP
Ktcsc0PnDx8Etvdcapix4cv1IcwWU4c6AYraeErsoDp6WlHcvKKwbx3SzYnhJTvW4Zi9KIQyEt/G
qPqWgtDfkMaypD/YjnUeXLvr8DQ0wxcXpMq4LwajG7epB3V2H+W6Ro9wGI7UjmHQCrIQh1muYjbJ
2RBmi7DEhAJu3/XOOVXGW42T65ui1fa3MAxku+qA8BNBmtizL23B33phdUasb/TCix/Ze8OpKLLk
ZQKWcmN7geELOdvjbIu6Jw2h5uZQFXVmkzRdpthovhkfh68MknrBLx7DEkS22xiN9VdQIPXJYRf5
IDEzaFWIHBmJzn6NWBxjlTDdyFgR76QkVrcJfLEKNe4wsbDj78OQZsoY16ZfZ7QSU6VgAvlv22TW
C6qah0ZVYAPMWt16UUOtwqVTNbVcqDE4wQqi4pupVM0WGTs+keYprsC5qmeJyf+9rixvm+Wp9tRp
6jhRWz2EO4CLNbDSHi3SB1kY7hTPnJRdSpXZVndiJCpcE9qCNuLmS8SQnC0GOvSO9GvB10pttwFK
pcGdZiQAYyJ7fVsOapUuMOx5BI0i7qFjR3YuavOyXBrlnCVLiOVoPsZF/nQ0ge2FSIh1dwgjGWAS
rbhga5m2bWbMtxujTTaWWidb16IJZtErmn4LeWVue83Ov7rFJL7MU3bDV8Cuu2xNQ7lXW9leRKbJ
Z5Jk4y7VDMFVlQPfJ9k3+aVWW3ykU7liKHpxqKEC0YoZEhFiVVwEVIEWM78sk9EW4mp4R4SFHyFN
ifPxfkiSa+uJ7xLByODtIjY98UB2thjCIb60hS8nyzqE0aCxUCYY9JBYLPMHPZlWpjvpJoURrZ0e
kqrjQlIQ0NnXseXqS3syzTnmY5fbukEO7qw8VhhNo2Q+lGNhbWVT86fhGq8KD8+X1ct9w4n0Gqf2
YFOmHtTBgpQlWfAcOyQN1ZAru4VuNcN66puEAH1tR7MbAW/LglK/FbGz6FDrRPMkeKB3AU5+PQ0D
4B+ukaJcOfRVun5mp/GORrz62xCmxSmUH2nPMPCulUatt7DmmaJxrYzICae4r7qavDNbzTgKjJtb
XQXR1mEO2eXtCFEwzMXwZOq2rm7YEhQ7BUP5l0a6ceWTOclOOUZnfWeAhQmfnXZouAA6PXrbX9ep
/rkC9asA9T//mZT1/1EBGSoilzJEot+lw5kw8pMccn4VkEOWr+/y9W+v+fvfzq/oWX/bvnbfsvgP
qtbf/5UfopZjfNINQn2sCR3TVmkA+E3Ucggea6bp8TVZa7IbQW/6La6sknFG7yJPa/2EP/+W2lA/
qYZuzzIZJ4auEgL5C2nlP20xiYagTziQR0ig8Y2of9piJhx8gxFkwarHHElf/cY2o7VWUzg+mJtf
fk//RGLV0OHKX1ZB/OykoWHF8QW1GXj9p68VCkqw0ECCFflI7qHdbRTVtk6ddU4/OrPXZ6FaftM/
e8Zacaa7UEwqBX4vbBgXOk/bAXYsyvf2f/mu/qT8/viuDH1Wf/n2PuI6v+5x6eEsPFtUwaqMxlWT
VrsMVqOPirCGtLmaGI8dRfg2uAN3HlJCfA/BfL0Oy43V+KZe/hCJ/6VTGa/PP/6eXJ35w2LRBKjl
zyqjiJxS8dQwWNVTG23YZu3C3DJv2OSDuyGKaKyyFKQyYLZyMdjTPi5y4TcT9YOAR805P/NFARh9
Jc6VIb+7wcE0CQw6+bqExUEIsP/iDG8ZwfGOXZhd5CebpiO6EaDZMjJbNItitrGVFUhLJnaP6lsG
3GJaVgxLuW6d1EpZYppZl2a+TDJ2yTj5uKvvbeXW68VtCggqYuLgdoVRcVwp7CP71lvQKr4PbTZG
VXGsbR0QI1Wz8gWP/Q6aqj91X5X8gKOedVNv7EvytbrJDeepa7vnjjb1hRzpZyoHZ2c2T0Hf7gBa
YKFAWZHNUtQZe9zwOrGjcZJzRlyQ5l/ftUaIacHeorwxhS5BfeuR8uJ70UH9Mxy6gCCVkw3yW9Gs
q8Qd13NnHOfEUrfJg0dEDkx56iJ7XRvfB64hrsnXzHoi1oBdqgJj7zO1pXsW8r6TY4LLLOZPzItx
t8ZC4SdWwdW+98MMAievoxb+Vln1t0JaJIpYBSnGtm1ohJr6bukwq+qJXGrV18i50/PqCPRpEccU
STMGqKq3L6G9ph3zEiOSEt+njEaKPOPYXePxeAU+uTLNr9TkfaGMGgM7cakZfO7dMbCgFV9imW9d
2CfCddY4ufwwqNuzCujzPm4AiTpCORHfMZdOm94pZUJEcsKiDbKbqGoTeBdcwsVbaFT0vZc0tPls
XhMQr3n2rcYtdNWnsHj1jNjBK4gmBtxjDmAiaDu9ee9orf5op3pHI13YfgZExKRueOEGxzo+QxJb
4ZMAOM4VwAgWRHWIgegpkYJFgIP+ntOzXWt27SwbiY1qkcNqppmvtIdXS47ZFl2mJSsOSPQUdWV8
ZO10Z8navsqpc26NLn42mfylZc7/0UOSl/9sh/n7fu0fDsn5aKT9gJzoL9UH9Jb8+LyfYUbrk467
xXZYHum6/bHR+bHr8YwPvofpkTrxLNwpvxyLNqgOko4U0rB0opWTFMdv56L1CWkWugdAwLnYh6Dj
XzgXgUb98SmMv8c1DEwmoEFcjix93gX94u+Z3JrLGUabHSg/cmLOK3oqaL1YinNkjsExzloKtRXx
SP0dqLi0VTaVOgDYNC3nlLg13Pra3SSWnQNM7WESgFEwc/cxNIW3zKQHAqNFLvdHFJueSfLase5d
9Eify75ss/s6Qt1IPCm3bmR+xmCEdmKfxpongmth2QBTt2i64EpVAKWcgqkJGhD+1OBxAKm/xtSZ
LRxhHQUS76tD9+SmY4FUF+T+UtebTpmYODX6RiyyjEVVR8sbAYt+3dcd5Z4Mz5PpElkiyGYsK8Ht
YEAwa0OpYO2iWjIyYWR475yTi74URxKAq7HWb1zFD4Wk9JoAjN8W+ndLi4e9EgV0n8nUnTZ6JO9j
frd3VKJxC5iUcsNw8ziokAuU/tha/DJhlRrob/zIsZGezbzZVAom+LysTobV1vClCrGJh+at1Mfp
HDzVPHMWdZV566hq96YWAa5VGiz345KQwYrbPohYs/I1N//emNRYenay1gxtyVQNzj15qLxwB1Vd
X0oQz8uuLBcUTeD2mZKtMrZXRbe6FW7D4bGNJ2tnOIIeF31YxmmBWZOQyuBU4VZQ7HyfC3mLjA4w
EeH5sDaz9TCMrp8Uwryz8NktMpwYizEgA4iwkmzcxgzItbvWTidX82CI4maklRkBTjHbZSKi8V7N
AjDudd3AGVeS8G6wqV21HoFANZspsfNLLxXFb7ruFKrmXZRQvZjaz2E24qNAE2labnJJL4+hrHfK
RCaH2aGnBOBAoGK0xpg/VX2Wsvme5vfYq0qy/J6xtZwy80dQK8S6Viayi0rBN+KOobAXnLiD6NV5
7NQjbV5cGoBkuS7ocSbKoVYfA/GkY7OniJlW6cGev3ayq5C6ZFaqj3qMzYmz2yJISCBnnUdAt0kx
aZuKRFVuaa8mbu3DhJSGE+RkgII2VQGkuLoYjUv6KVli6r/JKdI+d9i9UTmLeGVCF7737HzNxo4Q
gz46FmsUqdxhVrcuGMWJbnrE+HLDtTCkVe2hwSbW+PVoscOpjHJvBPV4SEzpcqJU7FbbPDwoFPru
ck22uywJsufECEmqELaPj5FOeWuUgMoeHRk+1NSULHmp1js0vfEzJp7Cpyy2uES20e0cJ8++EPx3
8GnHk09rPLJQmbN+sAvvUGKv52zr+3WjaVjmlWk40WYhHibaQR7cUrT7hPDDo+ACtK463IILWcI1
ZYJ1lpUWdWes0taJupjyyO2gvxJVNM6WNrX7RpX0oCdZS/CGVNPAXfdAxDLdycijnVoW0TfDHDg5
azHK9xL6ZM/czW8dKxPI9dLrjwDcm0MWsIPDO9OpFxdd+dYbXXXWAl07irSIHoFFeKfKw4TKS8U5
GkqvHrkrNCw9MYFwuSqdDbTY7Mx8EM6z93hN2Enm/8tl3lDnp/LvMwZkJw/6E3snHtywnpgz/vjU
TlMYYEY9YYAOw+xcmrIAGVx39ZkKzRxSCrWjpdb3kN7JP1EIRosoQRY8VZhozaZ9tLtaWaOuYG1x
kjmaWGvF0sKiuLYjtiZEJELCUm1A8zwdOBc7V5NDQ+s6HED2y5U3XUpbA8IQuNlpDHFY8kp6tDCN
42Sne7XGgeVDawKNO1oPUkZQ8dte3NltSKFlP7bBQ9nDLdt4xCEnv3YmYObAoisiL3QiEr8jabKB
ZRwg4scgwTeqCCNWWTi9oWizXVtyAypWiEj5o0GO+nONGxPZcForuntrHfTKuMl9dn3Lko4qv2oc
OJlqZuP+yo+KQTPbKEjK0kJ6K4fmGJXyPpCO65cFOlI3WESb44EkdxCvUo1lL8Lv5Dt9MtKtKQ71
ZHaHQBZHJ+btH8cjCweCan0OwjhpJXdx+EeLqrfDtwiNhoBVb64Vkggw1+ArFribeMawCnBoyriV
kx0uyzYUZ9RbZ16m8lKaoBItJtVWj0TpwQu2SX2Mof+dWkuNHiM11I9hbFfnlNH3Vmi2eolSg52J
F3fNgb/1cCSaEJ96FS80/mJe7wBC6nfqQzuTJbsRfRNZgRFCBsNazu8UlE774M7vHn1+H7XzOyqr
XfI6wWCcU0Ir17KKq6Op5pzPUd3hReaozG1ZvxJ/ILjApZ+gzPwOBqjdsljjXR2w8nro5nc6pIdw
V3ZGv67m50A8PxHGqbcPpVmkflfl8+ugcu9xpGdf4vlpMs3PlWl+wpjzs8aanzrN/PyZ5idRPD+T
PKVUd6mrxcc8tHlkDY0Uz6Dh6XJMISCWDSUgWdNS6trY7muS6eOhDBTwViTqLpHweDB6/N8HLiD2
G9SgaDMkdrPmZm1f+L+Vu7YKbdZeo7mKY0w7/gieC3krkCzi64l+mhXaND+261EXg87mJD02yWBI
llU52MLXQkOOW2Ei/p5zJ3F91aqAqE/geaal7g3osWSKiTbnEEzKZ9aEkrnMop6C7g4jbbZFKLvw
qDM2gLmp8dAv2sbt2pUBBLvnbReDCFRDRTOBkEcjvNyR2piVmCyUbjKQaAvSnEkoZZ7gKGAHfWco
nX5yw8G6DoqjrTO2ByuZmNqtph02BYaAI2FDR1OWregDxrYYwAwj0lvCDOtYgyxdD8PtQjpTpKxa
kXEDguMD0t/hsfkyZVlsYAjMNZ4tY5J4vMS0SjtKo9FvKV66qsyrqxOgPk9J0q/UmmabRs+3NdRT
vJjNY9Md7cmAfhyo1D945YlyHAq0GyUgs2Agwso4QDpGcNQovF6UXjgsRVHSKG2yd1a75EuZev16
TPo3rA+V70oDEMGoXwK16s9Fw3uULNXX2PlKCNzbjzq8MRtlH5mAY4B2CnMBpXHjRMUVLeKWFKz/
h8y90HYRbCPh2EBXcVi37FYODarrFicvzRqxsWdPfiPuN+PrUT4Vzv+VOpVvkPmV+W9E+GqEEy2j
/sJx/jhpZfzdIky3q1s6mPusmA74/tEnCGk/aa46LhOtGr97BWAPvw2L0vBr2agJDcoxtNOPyeW/
c97DvychI4YyQ5n/Vgz1I4a8+B9sfX//zJ8CqA3CmApHk8Y6l+jGTGX8iUS2P0GrQQGzUd88VNC/
65+G+gn7HZ6+Oe8xUx5/H/T4kO2yR3VteE08v7W/VHGn8cV/uTHM0yd3BhVnCN+FauLu++ONoY1s
DBwiGTd2L6tHURXOS+XAbnH1AEINz7/hM5aKr0GqyW+8Y/IvfQsZxO6iqF2ZdU9Na1fIlcMJ9EKR
R7Hv2JIvNTfO3q0sbJ//+2L8gHv/Ry9GA0X5X4sOp9d8Rof+E82BT/upOZj4QYkPYR6wdIyr86vq
p+aAFI8WARYbl5TH6+v3l6JufQLiCbeUxJGOi9rCevqb5mDQtoiszb9oIB4bqCJ/RXNwZxz277dX
whIwqj3NQRaxAHVb7qxJ/KI5WFVNSBMCwTaRsdiOwAiAKtMp0NBkVDahHuIeGB5S6A4bk8pZP4ym
4VHUDZgTLX6WoVedlMqdbmEghoOj992NxoKrlgtUwEljqOxBF+pDoYKhhAu2iGTAtskVpyYFlSvJ
M5it2x4oE7spLEORJ4foq6UwgFm4zuCtZZfETVx3kSUiJSFMRT2wipYrHNrItCwtm1oAmrD9IcBO
MPVjeeIAHSLW+yPIvKgouLkFoP7K1NkqLLOsrVd7wz0iQ/QSl+U3QCm5swwbA4zLECdfKPr4ChNE
3ZKnPSdsRPHiZ+mhJ8WxrA3sSrk5fldhSi7NNq/wQfTgHgnp3KgbrNClre2IgWrRixkbE9P7NWG8
404Vq/xD8UvHpQbqf8lkq+QNP1CNgaG3jJ2qyeQJ0yjRXhrY1hLuEZcwnSoQBJPypvbJe2/VJnmg
IPCNaIRFo+ExITaufhHawBa6DvJuM+pANlzPDO9x0fmN0Sv3Xetk1y6zlU3WW0G+LEFnX8mlzv08
9B5mXK21jqA+miaKT8+FinM9hdTyMS7F8+QUYCYmWWsKgDaIvPAYM9T0rAQCtKMvIjuUQ9Yk62DS
IUqaQ50GhykJAJFHruIdOoqtnhtdBnJXV3Ydbbwx7vbgnitMVN5U2cvOGrnGIMx1gU+FWWYuTGGq
b3ZlDE85ebOOKETtgPNzKnbxnRANeTFl9C6Ng/KwEGQCpI+5yOLs7nGV4fFJiJ7VtjxNRC2x9NIG
OWcKA+QKNp7asmF1jX2T5t64JLjvEEq9s0wcL9cxBT3ie0mtcJsznczBIqAxfXmSKe6WSCcAuAFi
vNrzCsP0kzH34YJxKv2sKD05zjIWB0e2YbhqxlKWGy5qNX/zMXb2c9uDt+g1CR3a7r1r3TE2pqrN
NbMPIDylq0ZtxLIjkMhg4DAgGmfOtxfqtC5DAvQwo/WSMUxuowbFxpLqKSsRWMjx3LpZAyrNe/JP
q1Ezx3M8ayoCTHjfVsckDJZGWhA8OlFbSaSJlpgl5iqfUlT+ZHpvLRsxih2GMuMSj4byjZczLiv2
Twzg7N2VJXjqq6pCPyn6YcHiTF17AlotP+p3Y7oKqNe1y+doWvkiFD251iqtXHYUL3sJ3RQfnome
mNgoKRB/6eO590qFJk2lvrj2uKzHsWZMI/HWWZhUP0Sr1ogehNFFACMczAZYrLYVNI+FbYNB8EYM
CJooan+EkAQhp1BeTRN4SuVsSLdHcF2KftGVzpwoUtn7FMbSgd+A48EzCmg8eXFS48T+4o3hvZ5h
told4Gd9kJW8ZZJ1asJT1wynoS0ycN4mc+Juro0rzR3qo64nJPMDGsbyLMCU69zz6DuFiYVLuhp1
Uu3uusHmPiZZtjYBnmwqD/4ryNMN68F3CPkYX+3xW5gGd0ZEf1s3mfbarN0HBbTyt75x06/tFH7/
5XS6/His/9qNgNP+D4/7WaxgwWcDtVNJO5BOmD/+y+M+LwfwS7HmbZWwVLHBJDox3Qw8QjiU1l1U
2LxLlKkl7msR6T2pxRC/hEmB4DV0HTs78uURz8nG5l1nF+xnEnzcc5oslXhk2Btxp9bSguVeR79V
IXPtDaIZ72dN9jSpofA51QIdWNrLEUOMvhhKSaOOFrF2jEJiSzupWTwsiEsfGFm6bm19PE2UjydL
9fGUqecHDhnKCBJpMzo6UxubrEhKOj5bFbQJtKrk1iQKeighdWcnq4rH1KwA6MFsSmpC2sjs9pgR
Ju+B6KxbzKXo2N0RYll/sNT8oCdpdMC3l6wSna0VNJloSTYai1AO2QIczW2aNYuEx9nRzgNrU1U6
ENKusZhQY1L9A5a4PNf35GCbbxrVszAPUEkqI8p4rdaVyDd1qrUDOd7Ca317isdNjeoaL226KXl1
s71n2C61JL2Px1rrDyOJMsIAPUIOVXIrur2lz1pULMnF5U/RLASx/UJWQxuKC5kcxlAzL3A1cDC7
9O1+5qEAU6JyprVV9AU9UBOdBcKukjtILe57SLx1FefJVWaFvrdV2kwKPHfaCWE6PTOfM+c0P2ae
RkzxUbg6YiJz6x3wFmXjAD5+cwPsaZqSNRe4PoD1nTB8CyhnAoQQV+2X0eLp1bmdfseCTb3GLAwg
JmpfzSzQtupQC5YFFvBvXchLhvBF9F7fZLTkbhhb95x2tNMBikAawd1pD7JaoaNIH+9AzHS8qJrx
WDbWS0QJ24rf3DPwJ/D8Kd0WBbSdFfAi/Del9kA1WUGpxbAFNZdwzpUbbzDeQ1Xr13alvFEYCdU4
N7VNGTV7wyFlqCXHTNcOtQieg9BYAjzZEVf7ChKVRnrvrHbd3GnVWuthat8FZqNzWhnfYDkDjm1L
2iYdVa7dQXG3hda8wtKp99G8Fq3tNHofyfDtMffXV1Ho4w4+4bRISuKKQqTupuvqt3ma8HPLeO9M
Vg5EFWwfHrZLgWEcH0xYOBOokw3Gfw23nXdK5ERnY0qXRp4r49JwtGJt0NHuVy1pms6SE1Jwiye9
y3yPP3aK/XvVuOjwmb0uyro5TbgJl+M0jhvHLJHKB/1ehsFwyjQt3ulCR7jTRry2tWafw8HRrqmV
1xcrD1fkReMdyfzMDxG8skWQk7CzPfoXFrqSmd9qODUrvdXK72kXYldL7WJt4thjnY4f3hA6H42t
cJkYabKp+mFmFrT6SHTU6WjVGEb92Rnb2YYkhfoSW3HzVDUmHuw8TpLvgAQAq4ggJICD0x2CmT7U
5QYHfBQSLpACrjJntJxP6/Tj4C4/DnH740A3nCyMt+7HQd99HPrTxwVgRmeBEf64GJgflwR7vi+g
VDb/Hf1/7GP/s2mL6eTfTFvfQqi1r+PrP5m3+MSf85b+yeEpwj5WY3Ri9OcjP/N8Ho1Hls3h5wH/
//GR36xP9ic8ScTrPDL+ZO49RrHf5i3rk6qrCKJAWwBPO1RJ/JV5a54f/zRvqbPvh2YiF3GCqOAf
D2DQ01jzEK620pNmuNUrzIJEdKZBLjQvjt6HNMv2SFlDucOs096b2uiGK5sm0GkdeoHxWCUsiPPG
trm+2Sl8IBErnKxWT95oI5TIeJxvyqeg71WiGQrBbMPKATc7g+e2C9M0E29bUySbbtTRrcojVWwA
JbAx+5YV8iZxAzKyteVw5Hc8yLn8aMoDOYjq4LZO+1KalMdTt42dFAe9X+XuTeUcgY2nnseRgx9w
I3GwtO7kWwXsDMYAzHMqms0wPKpJ7TWsJbTpaEVc85e9yTqC+i13Y06Z2DqtpLJSj/VtYLnDMrQm
YzvGIwOkWXmUJox0fYpstK99ZHgPbuG5G2KN/YlWNM9PRtEtDM9QV4YUJVtksoV6ZDNC4ph66ggM
tLegGCi8rOripiFXY3Ip41GsClxvKle6IIaVn/fdFS8oGKUw5/l9rOIm6TeB23UGamDG7dPLK2o4
a2YCgDCKQfASSBuzTqiN+CKzDsjfddIAUt7JkHDZVTPp/mUKrQK5Tak7Clj8utq0a1VCf/ug6z3Y
JUmgdStyRNa05sKbvXQEP6wrjCFCNNrEphMakm6mbE71dFwYU92168Cuu43TqNG7WpQhGYVSeJtc
ttqTFdABvwzVMFwXSf3dI9zeKn110XNXPxZyJNJpqMpWwX71AjNmWIBXvfQDLXmIyg3n/CDYgsp+
KWhBurJ0YRlFc/qiyALuvVTp9pvazOt3g97GbaErUbyJuynWllmhVks4i+4D8ju8QcI53O1F3Lj3
FFmPxz5gFwlXz5qb0rL7JmXthSUHvgtFAhQpGcVedZitldoLV2rs0uU6zmgQbXoIwF6tu6qgdp60
22KuuIPrpd6FbusT7KvvRzOBZaHZ9Z3CoIcJn1wY0XI2jYAwR9KvBRkFSgv575sCvDoZWJ1rRIL9
YSTgeJQVF52ZuxM/8GptDwU2kcRXdeD3i9GLk90Ypn1JxrFd4j2wF1kZtruw69M7j3vP54a/LTNc
EWi1Dz2LJpKxH8jDTEoPokHOrB7hPA1xLK7VWGwKeFCrylOnJ+gG8bulK/1Kuk55L9qwRvFuE37v
s0aYhNVnx2uIqXAxP5XN+I2oLEmFctTFykX22KYK3VS2dJT0BWaDfd8XI+KDFqXOl3JstHqlCtvc
zZQmrAFDS1cKPHxb0duV1VXtWq1ktQGz21MKbcF20Aw6AAZszqYMs23mKXsV+gBPGDHQRKm2L4FK
i/CiDrNL6NEtXpdJziwceXezT+vV7Lug+cG++a8i/h8diyYC8b8+Fpev4jX/sAeDG/vHo3H+5J+i
+Oz9JbWu0WKDgvjL0eionzgSfzEMowL+djSiiht4kVxsqrqmI3//fjRiGAaniGCOyxY4K3zbv3A0
emiav56M5pzAx2cOuRXVk8w3X+jX0bSUStWbuWaukG6+t459dqS1KW3vIaEXGTQtSO8RB1NHdwt0
uiub2s/sHjet9yXqMXBqSnigtOIpbe1NGVtrTVFWyXFKMOX3BO6cjCVWd4p69Yms5yadZ8DJ2iST
3KolmSlsjFl50KRvt+7a7vncKj9midwCn9qltnG1pXW2bGPTV+bVDLSzySBJ9doQRkQHvRXKx72r
lPfTEKwCjlszYsIQ6iJrvk7Z/RjClhZQSAebID9V6qULvksctdI8/z/2zmM5diTN0q8yL4A0wKEc
y4lA6CAjqMUGxisIrYUDePr5wKqeuXmrKqfLetOLXqZlJhlEAI5fnPOdwhqfK9NaV11x5fHaEOpL
z8PACIkpC7HHGcM92SnWIwmf+0YllzywIJ5EHq5Iu9nPAWoYZo93+KP3ZtXCS7MHBPzeI9aa18Ti
kiHS2ZmBc4C1smGM+R0KDau//GxxAv1y5/2TAcPv7J2/fYkLfwc6FVPl38fJmKRFG+matQEY7oe8
T/CqnkNVX+xpuriNRlR2RETQ7G60nqwcvpm//gDWb/XVl7pcdx3G2ovMjxH5n+8iZAuUBSIONhTs
0Ebis+yb7aizEB4mG5BSJC5WkDq7PpjxUc7PQxGbZ/Tw2iF3kHS5q58TVMLtjPp6TW5HvHWNIN8E
5Xwes2YPI5WNomTqqRNPk8+olYH05f4OQhjQlgbLvVTZRpkeHW/m8MoJ7H3gmad6RIgFp5ldZSu+
T9ARVjDt73o93s0tchWevRezFqfAHW9k0p8KiJrHsq7C09f1+bcO0v+cieJf/lfL7/pvigShmP7X
5+RT1300H+myP/zTKclxs+BE+H//dkxK4w+dDQSzMkGzwE6EW+jvu0P3D9slhAJfxZ8TL0zjD4sz
EtmmBcnFc5aq/j/6B/kH/wLe3d96jmXL828cklDjfjslDRMFksEknNubMb5Op/LrKRkFjJRpDMSO
WWMOCBvrwIyQgWBzXJf2RzsFZFFOtMN1lepriGAQJPR0crAfW1jLlO2qs9eaMTFdOhDvBPhwVD31
c8EwgJgJ101tP3I480h8Hr5Fcd8d9CQ2l51FqMVrby6wJ5GMMx+0KZfpWgKiuodUYG6Lrp4vghOI
oRuEvgSSNfmZmMtXidOPaEUV+5eq+YmIAokgnmCk8XmMMNUz5K3e9fE55CnYTCLBFOz29TYn0BuF
VB5v2i6RpwSo7NqL5mZdG9R+EVDeHwlIRFCoDOJxkATWrpx6/cHFK35JK4eIbNbNfm6OZCBbZHwf
NSMWPo72ditmtxBrkwFRvAIh9ZFJgw+qwizZ5ZI9xyocplQhvhogMdq9vFNZAhG6ruClSqv6pudZ
fWulhJ/Nznvn6TdzSSA2I+M9x/V5GIB+2tNdpJFoYVv9FZ3+DX7Nxh8tF1x4w1PvhOQwSLgI21Jz
MqYlWl7RyIyq86M0cB47YIDITLIh0H0k6XeiTE7Q/uWqkrnlB/iwoViUst9GJExS53qNPqyKXpQf
OGOnm6lpgncvGW1QorK6ElyNFW6G6f6YMQM/NsnU7kdH02+wdxAjp3cmJH7Zpag7FmCKk4/ufmhr
d89GeXgaOGjhG7KgADY9M4cxNePMmls7lIKBWWt2ARgTW9AKOYKU0kK5L4oV0akAgAyRM0KG4nBF
wIPm8Y+YvfdG567cg/BYwk7tqNjppV28D8QtXdxS8t4kpuxbU5VvHUGyb543uzsMxul9jm75iiHb
eQY0lUE5jfQzYjX3jFAqRJnoRD4MszONXnge9LHYNrWp7T1dpTtS1MQdNkeM1CNKYLZfKXe0nbaL
eqW/BQmS3mSjxYQsS8W4NtzcOE/oFSEuG4n73LkCLEzrIRIhYn56ADg8HnLVGlessL0Fn7waPkxb
qiPvFwvtTpugf567d5UH6hxAQNjjhjIfW11qEa+JUiH/SZr3DINus06Tua3Xw6jZ9a2npzhLApVr
jW8Z+AdZcmmEKygo/4GS1V7r0hFJnsavIbhGXQcWIs9WCaiWVSRfRZ2OZDm1IWIL8jjMEgItLbhJ
Kt3RTYhh0mJdXjguUCqlsYhvkwj7t4T4fVXd3J0HltPX0RjQVQnXnh5gbRlHK+3aZfVqlN+Jwwwv
ekek7koYidgOTd1u4pERJ/kurnYiW4voFWWo0uCXFslFkAx2Ewxzem0bRbRkMBabLjMyRAvWuHdd
Bby101R1J0kvv0hGjucoh0oxVB3IgpYEuS2uGqa/pHzFZ5EEYuuWk3M2onY86U0X7fCvdWeC2NVN
RCv3blfwBXC94udci+mpQqsIVBsL9aPR5JDMxFzuAsVMgf6zebBZi/ixBaMnzox4h3KdZ2tSeXob
hJm6g3M/3lE8KGTwZdOtK5jD8BFId3S7vVbrDUmHQ4QsOdD37H+h9BORfjUcL7/Gtms/15qjngkB
LX8qk43bCoMLA45Zag8MMsVlaIX9bAS1xuqgUmg7FR5mYjoSFhEet3Rhmp+A2ySTclU926Vu+Bpk
yOc4AqNIom1PFK2bzRuTgew2QSaFfyuNtnobKbZKYbuurQbMgIYs88Fy82AbRbIjCUSq6VCmhXkO
83jeTblj74gEkpTfzeyHRkKKNekMr3AQ3G3div6eDVZw5R+DRcvnvsaK7OA8bKItkrH6VjgYexjo
F9/gZwxbhA35O4p8792TeX7tnSHesUTG0T6DX0pR9m3yoTEZIWuuOOB3rTdGnefW2s7S6Jji3D0C
sqhxccnmYM0G/GJMRmsSC7+LZpRwjNpjFdG4urzV8qB8r8y5HtEEuvdhzaY3H6cDxMvwsU6y4WfR
6sp3GnPcdY0qcCn0ojY2zjTjt9fJe4kYSqGF1hCphmxEzepcuVq3ni2owU3PRj2TDEmg8xR7O1kG
80TzWOZrMzVHG7DRjVEO+zxkWerG4Q1wj2bPUb0xJqZqeYLlEBEmHImG9gKqbVFt0L7HgJx128yO
qdm1rOIktogo6QtIgVE/btMuyQ4MAZa/xQiLTTMiG2XH9Y6AiZO5L13UdMocAR7pmMuadp783hLz
RtTK3hZePtybGvaODWI1bz8aFUJYTCcMJUYW0GTPzfi7srxvr+Asqm9Vb6YUqmRCgNTKj2PF5UGs
a4MGyU3u2Mq6YWBnsrQLYI20xXQylNh15jzvnWGcqX9F9orH/8cyzszy4CMa3XavcrouWWj7rmwB
TYTr2i5BdhtWuR4tzbxv8bAcraTUHyysF3LVaMl4iVxIoivivkAV2pFu+fCZDGI3yfkiUkj7HIPG
ORoCVBbPR31GxtDvTVJmeM305Y+8y4e9FBW7dlHNH01k0ztGxXURUy22k3kTDnnwwBeQc00RokB4
RX4vBVkeVltHt0aIYJT/0IReNLIB0ufyCntbP7PdzF8VIaGbIWJ5uta1Yai2SuBiEU7HoMfDifuZ
a6YJ+V0jYzVNLaSZJsz/OJQqZnFcONYOdGV0KMjphoiRQqiMRmvYF4xldFA8hZOR0lqU99QXcXGT
hZoW+VpO6idIRHMdHfSWYaAv6jpRF28cmyNzvgzbpRn/zDlxplUEN3OdjTUAH9OJn0zc/JuEcpcQ
QMPAMjBgDxF4/Phn19znQRRvzUSAlS1jBqcgete1FPFez2OxIeeguodpclmCVwrkkvzC9tCUY+n3
JEOtpD6CFqC0AIOQhuumVeMPFY/jp6rEjza2m3c3Gz6catDhjlhhefG00CGkre/2sxvH66I01dk1
G0welT6cZks0RBwAW3HbiCixjNdTq/fm0azlo5gVWm8BkF70mvSDpmj9qAW6nFVt6NuZXWyjto9P
SVGoS2cE2o7QbY0BY97tgEc6SBzQSjsgdn4AxMLu2zA7KKLZ5Gvo88fYLuFNmjK86mzvdu08dFst
QYKD9tZ5CN0QIlPBq3OdiDnxbavLcCwNXnicNHfYti6ohgZLzjcjGcYNc4DgmsdQLgh1d9cNRxR6
4cS+7cn6WWtZQJhJDVw2yEwEu0oWHpCJeLQ3c4bW1iYhqVyLWLmbKNCjbdK5QUh1pWhRvdI6ubIZ
NkYzWvt8dIyHoPOiTVPpxN6yct3bk5Xu0kkZBDqEJZ4Z3KYpcSmHOAvKq6sy8BG9MwsIV7oWv9px
0+1rlSIwIvrHHwV8BSsu3JV0Z+uZFx1OJqeRdAexIzYWiRXH2Mjl3g06dOlwQj9lkcobp7WzpyEt
8h2sNn3D0l3s59SyD149WVsmwfqhGCpY9mng8aqZCI2kGjCxARTjudW7O1tvt9SpmHtccJ8ya160
oPQZCEW3w6S9IdqPVmZY4kEqaKsd2cDeL2laKsdt15XQx2OF33bTBLihVqMFibdfmFWgEAjJ4sbA
mZZ3mbrXU7hMujXb/hR2AX8BUCuyaYPjL53lP5mDiH+YQ/zep/02h9AIP02UTjYPtDSkXqad+hqE
UVB7Mt4KOyl9kkO1JyDQ4yM+F+91kkN1EdEcnuQk6rcgZiVrsbUgHdcW4S7qp+pxNL15q9tkcJCM
BW2r8bQreW4i4qGNRUpBu+TEehalBBDp+JURINnCcVYQdSO6YlcN5DxDASIWJNa+h04Z+qZGBoWW
wFVnqfzc1y3Zq11lE0noGa+i79FVG5jOk9pDMbDA4YrUtm+tLGVGbJuN7eeo/7D2uO47lXq4s8WA
KidRH+VgX/uOBRYVympKyfzGRzP59hxNd0NfkD+SzmdUIi4VuIT1gf4NqE2KyNVh+tzMHNthY/8Q
XQ3IQ4P5yss9pyjcDJpRvswiz4TPjhzyfRM5wzlw3ekQwT80sWQL564s2+HSwo5dAOVGgEsiFT8R
HcQ/qmAe0MBp6LqA/dyXc8roBjc4OXYOy6NyGpyT1fXa3hZk67bJXNbQzrHhEWeujz+Hdnxto7kG
BWfHW6vJMyQqdbYdQnonB/TSyiQUhv2bTV5Bzf7GJUIO2FdfDu2GzVd8mdOCNzQEnWNA/3qNwRaj
PhmH+J4H3TuM3qgOorQwXYB7wtY9tZ/oECgFc6XGxyhXNsxI6gVShuqid9eSmIGzWOrs4avkzr7K
b7FU4ryFKcpJbiSqp6vFVqeXJ6RORdHFXCp5XA2cTXKp742vSp9wcEyiS/2vNNmdvaUnSJfuIFv6
hD4bBJmvIalYbUJKXFV6LYEiNBjNV6/hUJlxGC0tiPnVjfRLYwKRRF3zr24F6PO4U03Ey9pRYi2j
ySOBp6+1TRgxG/S+Wh751f4YblNU+652R1wDjnEcG5tFkFUlfOEpNy57RkIEbcP9gNOEigmFKhk9
Q3e1GLXtJoltlUOMfmuu54cK44WfadW9JuJ4X2lcMBM0xD17HIv8GCplbWrhpZaUwkcXgPtpiGjS
rCZAQtAnPRlrkjIMX0dHVhdCkRe2c/a6R0h+9SQE5JrvYCL9j5aRHC4EQ199JBzF9CZKOyYFNJkk
3CRr9dV5Ol9dqLc0pBXrll29NKn90q6yWGLnSAdbLa0sjl++9qW95UMujS4tb7M0vyRNDFd4rek9
xlp3Z2uhfCus+m0EdfXNWRrofmml56WpLpb2Wn512iD2p320tN/e0ohPXz15trTn+dKos/YUJ9IO
3JdxaeO7r44et0gAg4E2f14a/oRDOg8wRHW4M3P89MtkIF2GBP0yLrCXwYHoes//6xP1C4f8i1AZ
0KQgTJZwW8ZvKNi+hMy/KNdaD3Qq0TXabuqkdSxg4HQikGT4ad5GLOke8HPtq24t2EY26WRyxb29
G4RrvLXYcUitQo30Yxp6dSRObTpp0kB4yDTvlcKgfDZlde7josVsRXgJxZO6bwgOAsKuVSnfaWIu
nlMil8imb2kFugTDlRNq7rGVLIqRevKpTE8MVFbBXHwQ65URBNQ5Eavf5SBLv8605Ot8m7/OOuvr
3IuWI9BbDsO/vmBfvsM/XbCvSSHFtFjGXK79m7LbI79msnAC76CsPsyv5mv9ob3W9+q2vcO6XFy0
7Pavf6P1m5bc4p1n6CBdFsAMR6X7229UDFhADMXBDi1T8C3DItWx90+m23SMZ7Gmkq5OzVSzSzTC
NPpm2DP5eUzjP9mWj+ZqmuJgWyQKa7hwqag3c2DyDhcEqug7Eue0FwzJziOSel51TlEiq04tV6KZ
TadmP9ZlfcZ9mx4dFG8HKhnOJ8YpK8fFhTjOCKkoPxk25MkWWnq9nVBen2Rpz++gdINDi/DzMNS2
3HVTpj3lMf5lgLLpHXax8CSynuwVyEfVQ+Q5M0vOOEnhUY4kOo1x80xo03J+5SJ7+bqo/9bA/r/C
fPhvPK3/S7HPMfpo/uWs/v+qfaT7h4dnAWX37z4fuRAdMNdY2CT+ZPPBWyEk2lfybPBkYPGkMvuP
Wb3xh8ezwkLTxeBmO86/tdB0cQX9eaOJPQNcEkYkfhwr1wVg8eusXs91VNfaNO/II2BsTXZBWXA2
GYy1297uPeb2gfPCY6pnfts4MU9DmxLkEU5NaPhgK9nzBVU9PCgdjcjKtTt722VafiPHfqHERd19
CZFzVRglMhsosTjwJlj7ETFUJz5Q7mOIVnvl9Y66mZhMjmen1JtTFZZFfLFBwXo0rYSY0O8mLuhv
123FJonK7B5buT2tZkKpoLS5s4netNYLb0dwNsYQQt9A/sL2BNtHhqXc615hD/t0CJL7obfrfU1b
lBLQVbwCXhq9dU/EwA/+OJ5YiQAQcKDZP7qtgwxeaLCgFrtEsFN25SZrFAwAgxV8iS077AErhFm7
5TaelVWSRR3Et3GH8wE3BXN6P3SrWT9SqRH7F6iRMQDUs8DdJxi19b010w9ugsaKOWMd5YxrUiW1
dwDeHjbKbIrPZQBcrma6cAa+YZGuWpZufBoFrGJfZhPG5dx0USunTdPCvx0C+Rqqsn/LRKos1htd
+VMAh/mMLBckAqVzdQ7Q8t6MChfyisS7tl71JFUwRK7GdG9oQpHoqw13yE7y72YeaWQ0J1GYbSbi
e19bgrk0P0BWXO4sbANXQBBMXIQVZuwzW+Z5a4aa2WNpZgP1Bm6BZs0KoioBFErj06l0b1klGNkb
pmXiQ3oNizxZrTMOGDyQjBAqFgOYKlNsjn2AOcPABLM1KnDeomkXzLFWXaOBCZbZlfV9lEj9tkav
o62SOcmVn9m23KR2Xn3obTcifE3MHurAJNYc0+lRQ6+0cay0AlVcgfaN6WpW81RMu86qy21pG9M2
CtMRDWcw3ehhgRiNCfzzWJUxGVoJ2yNzxucqdSlfKTPmB6McxyuO4pYVDkyI1PDUJTE49bPUxrhQ
1elNbyCK7flZrMNINiVnF3F120kGYoW+QKjFRs2NwDESzzcaA7GFUx4cCScv9yKPiHQ3iUXBy50/
NwYU5VKaT47JEoi0AKzFXrWqhxOVBHc+G6sJuC/sWW/AtBNH/KWq1yXegbg9ofDS/YDR3lMVFjjn
+348ml2xMIjnYV3rS06FMzXe2iD7FA6pCMKrATThzhQDuNqC6Rf3urkjmcKt/Iji7VMqq7vrg0r4
SW8bD+SrzM+L/nefuXJiyJTULqq3sSqeMzqKF/TM1XNadv0nrMDk2TXsg6Nkv7dSfnai01Wu27Rz
rmiH6rda5O1dkVvGB7ZnIj5r4XoPImYSVUQYTdZJTouz8jhTiNRMTGI4zInRMNvHDzUn3bSqtNZ6
EqJmZjBkqd+oIUcQkbgXXIvOe0JJv4lyO8DSgVLt3pQupO8qJh8SmuMPtw2YV5W1LkgC0+zpkrgF
oBJPT6pPEdfG83IjPJqzO39GrlKVL5WePZFC495N+bjgisnNG6Mub9ZsMhR/J+hCPwN592YSW6Tt
egJBbd/LsuAW7lZ/nDgj7gPWNj/zKAWPwOByeknJeyGdh6N5b4KKwhdsBuZn2pR4toG8LNmkqXAe
ERPCi+/pAtdzZofUhmHx4SAf/yloZhGFySq76rEzCNYDRYMJQo5n+vYOcvIcz9ux6jyfIBB6dBzp
MNFpy9iIQX+kINrSB4A6sAKrOTLNrSu/yWh5/MLo530Gw71mFhv1S7WawcpIeUgqxyb5WnaivQ9F
Vu/icozK1RD37UPCzHjjOIT/0sw5J9PJgvsws6w3ZmbpsdDn4F1T7YNewSVIwh4lV6VPyR2u+zTf
lyqNV0NLe70KTORtVK2kGKLcEwfDmMyzk8ruJqtxsq0YN0aX1B69W7SzdGDJrPVciMya75TThmov
sI49ACLNHqMhtN9FgsJtGEL3xKpVv2Ocpo4xhSTCevZScdrnMG1JTN6k6ehd8mKa9kMJ/YEmSiPz
oh8KuEG6ijWAzJ2DyyOuY3utHByIPAriyYna8i6sE4q1bnCOAJLzj5GUrQ/QzD32G53PrEyz+WF0
ZKBDWBWPg0Fq9GwVxJfXkQQZ01TfwyBUH6DmGECEpg38JdXYZq3mQTV7Z4rhRsTdYmIxis+gLZuU
SbUr4RiR7DTQxU2+sFv7wIqrPCcqNQHULFd0MuNo5Sq73HaI6g8RVf+d5loa+Qq6zKttPKa8byUx
WbcemQEgKQw7N1aRGhT73IwBQZSL4D7qJsxWA+Cxi5H2tNGltAg0BRvMfi22EoYS8XTXwNDhzd60
zV1Rurm3bunTsUolOLBShqRnsLk1L6/BSW/bdgxBX+TlMbLbDA4e0+AfLnjodoVAUOnrwDTjE2wQ
5W2FGPQnx83iZ97ZGP2auELg73rlQI+p2acskzgpkFETjYZ8hg4ePoPEeVdgoOm1UxYHs36Ih7Z4
NAsSRTFstMlprjXdOkXFZL6Ule6MPmjpQ9w6TrWy2wJ381Knd6Ur7kddiqPlRek2aHWSRGUIvaGc
1XUuWi6Ix6G70tyue7GJ6vqM5DC/6KpxdhkBFYd2lhBRZ1nce0Ftnd3GpIuYnNZZnIkRWUIK0A4x
BpYdsPiqmAZHUXybBXX6UuIJh/XBNdsFTFwATrdedvamXr55M86hMXZeyWiqdpOTjgRJWtzOoQXz
qamsRw0jwyGCbo2DEHEEC1m3dZ/Yf/XFpoIesGNDkb0Voa6eBUdntUpEU508UOmbqJt1XKOzGHHQ
ZtHRiUsyMidNLsMcZxcE2jbGIleTDIfylX348D4JbEKQFS1nDRE8fZPT4ooCxiv3TaDLWxMmumBN
rg8/A7v1Nv2YrBsKo41exSYEqHZxPMs9JsoUuEVqn4xOPsIea3bKGx4Md6heGtS0u8FqkAm7g+TE
SgZb341ai9uuzMLsIeY2ealHHRoLO989ESdDvoF9FcP284bxSPCBl6zLvurCDfxq69Vru+lb5bJ3
QEkds5dSmcepnuSwAkmrqIII2zGFjh5mTHv5mufVGPR2y7FdZW9x7SguojfQoAten7sgEQbUC6Lt
ky+Ivbfw7MtJ064OiHvoHe41XKj38RcAH+ukeegtBZvnC5BfLaz8aqHmI+g198lC0k8gf2xD0orX
GcFWj8o6BIvkdobuWGFbuWlznaGIrqwN2VesSTydnruI8kNO8PUas2h4bWVX+Zpj3Lo5wWMI94NV
3ejqLljA/+kSAYAYgTSAzuAdu1JfKQFurVx/WKID+iVEwGD9cg7rnB2I1i5RAznRKzfNTLG4amhn
nu2vWIL5K6JATIUGd4kCkZCAxpG+ueQZ1Jx1vMEm+75y2Vz5izvN3Bp1kQ2rQJOehl+GdAQ2wN6t
IpTjGrpLeAJxEZPJITbOR5YP9WvrGM6TRCN/doh2Q0hRDM5z65T2HYcdW5uctMA3HmB9a06KsEiW
YogVlzAHd4l1qFKbsA0+p/CZtcij4A//9JwBh3WkQpfpNvXmoVA5cRHZV3QEqplW31dLooTZmoRL
5FllFpyak6H5fcvmfRUimIfoyfqGMJ0wRIHZt6QZox2wBQxoS/vQNKt9KMJgNtcdNbtfAVW+zG7W
v5WuQ7hrTSjwTS9dFubSgdKVaJQ4kzXoF9k62VvLFKMjggf/xaUtIp3k3brObN+OLPIoPHzZZIIM
I14MvYjYuowVe06eCI9MiEF4LwGY0WA1uAFqnRTGCTM3xu0ldCNLW5gwk06KxWy8tC3T7l3n6PLk
TUx8WTmF8VOpyXzCH9bApGRjan22aNTLXcWEedoGOmF3TB9l2PnsDNvo0pkWLUeWlWSiyMiYeell
Hg4sOd3zzKiVbeYt9vBoptbg9D910bBv+rw4jYh0XziW7Hun5HUQJ4F3KoapexjhizHDz+YXNYeu
RlRJPEJFwvmwbiI9Q21RO7PzP3ao/5QdCoW2pzsEUQhrEVbbyLZ/mcX9A/zynxOi/9f/Bhn9L9Xh
//RX/F0oDj6aoSFSEcu2uWsMpNp/V0AuQnEDvTf86MVCtXBVfhGKo37keDB1Pja77v83V9FRVJKf
i/qcMS4/Uv47GkjDXDSOv042/6YU13llOBYYJ48P8etcpQ4SlYTObCGGeuqn8sZ7NLbhliE2flZ4
RHKRQKN/uTefCl66PXCjp7aOwc++BGPnx4G2loOFKjJ/9wJSrCJIQmjWtC2b1d1QyVXQ5odIfptG
mO1VSEpB/NKrd8rZjTaxzdfnB7PS4GZOWLebrakdK/nZENS1R7Y3iNvwB6ZwoILniWlEoW7Kpl8H
zmdeOOu0gXhABWk4RJIh+PAwbA554U/EgGXRtMsdGBckYSOPSLa2ttOdpNkmRhfyusxux+i9IJvb
KdQ3Bi5Pbaff5fXMliB0JU/0VG1a5idW8b3LLo4ccEMPaccyjp46JFOGQgFjsXLFleCfhzAjj8ps
tvok9kvFAoUgIwjibI6YXtqqurQ9xW0dNsAetM2SI4pgC7t2krDNLH/a9NbrorbedLSYfE2bocRg
6dE/BQofe7qdrGnddKOfOI0P3ePGjLtr55gQ/Mzvqetcx5LPyjvGXlWGwBYzccTNW5FjJsejxhTH
ovx1MOw4rNlJw4qvYV71oNpaJgEyvq1BHCfjzS+PzT/Z2xr/MDVfnjsCZHXXwCbhsmf4872FKrYl
+4ydwjjnT03HJt6y2us42PuIKonE4NrPXOfYpcUuqy5sO3a2YZ0IA+t9jKQY5NuBoV3gHZw4w5ij
U6GpbZMQC9MH5tUcSiw49oNp2azlktavKa7r4qT31q6pihPTEVJH6faW/Pb5zs6ivXTxBRnebcdX
SAbVp9XY93b6pnGZqYHWwGG3YZJiPovWiFpYmS9msvYsPXjSCDXCRtszIbs2drMdTOs66d7ZsRAp
kXThjQi4ou4xwRnMLYkH6GgZ7w4QDRhiR47zW71kzqeVcFtcdyTRm7uSSIFtNaCrL27cGrUKtBA7
l9/ybtpnmb4P1UKf0xDGp/18nsduQ+7rx1TZ27JgmcIPxKMf01wYEyIe60WIEMrKo2iam4YYCYzu
j8X4Pif2eKrEhOCL7IS3OjBZg+OKo5jeRJWBKYpbRDnWliZ0X9PT6SOfccinSwjQELt7SePfmf2p
VjW98vz+17eJWDYZfzqBuEtAPppMoUBJeV/b/1+WUXOpyxQhWbBxyvRnqPUvAZcvaIz3uomgijds
U5v7Okhv5364hG1zSNR4G5O2Y6RtDUjFRS3oJX7SVuBTvEskyGmNu/tWerAXOwrXaPis7OL/c3cz
+/7tc2P7QTkOmsPmBWOgOfzz3d2CnakGA2Z37TYunQacNFjAM7MfcmBZLYISDwj/2oH5BA7i7DXk
VLSi/QdsemZMuzrKppWrzTa0O3TnFZDRkxEKHJQx5k1gEsIBhBsPDxysOzMbr3HSP1Sa8TQjL8Yb
8iO0x4fcahkuyM4vI/zT6AD4xU5XbkYpORoH8an39GNh12nscxBdJnOFVK1S99EwXBlmnSonCFex
U4DdDjC+Od47UANjxX7w0TGyC2G4rNvt6pOEkmhjm9Wj6rRPLzKztYydT3avD62TvMIw2DVDy/re
+Kwy+jDMpV7BJwjrQ0OfNpNtSKLXM6PpHWJJb+U23xTMiQn9X5mrDbhlmjYgtdE6Tu2XoiLPB72H
xXgnt7sb1DXXtuPtUek0EBLihkH8UtT3Lxh7nph6cY5br3NaP4XxeCFWe/aHHsmh1u3NpF7Xob63
6+LBjtRep+GBFfQ90KuHDCJBL4ggQ/TRJDb2RXkNC/0AdO+qLKRhmXzIDcFwN3d8dpkbD9V8TApX
GOlbvvqzbuBPGRRvmfgFndh+cBHkuoREMY4tz10wb8DTbkleW2cuQ572NZkfFkMTRBM/6k9elR6S
InhpuIS7iYhl8mOIz0P5I9N5EzG2R/IG2DeKFkrIFR6HT87SW50DkSaHqdgL+Inr2UQalzhu95Lk
7l0JmHGlYRgqmKwybxzQzSa4hy1Uq+IzljntlvditcAEtPIH7pstCafIxkntLngMIdSU165O96RY
bZMSB6Vy7tMwOVliUj6qjlWN9BzdlcH/3/le2W9RL/hB2Ba8mV4TofbmOO7zntyBtIiZfHX5kxkV
r2Frn8fGfM4AAq1s59We68cx77sNd/WhDtzPWZinAJzbRqEwQrIenqbRQe/RTZOP9zfb2NZ8Zje+
IrDtglCm2bmN/mEBMNmQTHpfmtNHWmMMRcP7qmfwFA1W0esYbH5jdU/DLI+DizbV1OONlh5SdMIY
Rgp6xHEtouTRaJ3XXvQnfRy/5SPbH61AUp2Ze00xRdH1aw7MFFnycw7JUDbwqCzv3um1mzB9QxXB
8KhfeySStUN8Z5IxOHG3W0xf55hkRa7YOHqU/SZah3hXdqh8jPo+0L4Nqfz0Zv19BIOJ0XVr9N73
hJSAOCdgPrTt+8D7mTMhc72Npd028rYybm3zUvT3GF2vDcSS3qTVMe+HiRjVRD7lY8tcn5EAskSs
6jB7mKIkP9MY7qxi29C+ut6jsskDGuGlZp/45H1DvPXhw/9h7tyW00aCMPwqqVzs1UJJQuhQW0nV
Yogdx97YCbXJXrlkpKADQrYOxvD0+40ODrIxdhhqF+5AokfTmp6Z7un+f3NKxpmVDiz9kqA46NfQ
HBQaw6VzHiqQ/AQ3A391pnDiZC6hOmONCqiEJaG5r8ejqCQOhZve+KwuJlASQPLW+54XFjF67DrS
vlv2RXy/gPTnUhEMVcyV326vtOiooH55GlwvKCSJix/3YULptX193+vNPth32XXnxjgJ0ukJvrB7
B605FAw+Pl9iAwoeTQd9ezEkTDPI7cT6GPoUp5AZlg2tafx3sAQU+F5b6m4n1dSBRaZjApDPhwV4
lBCsjv3prTlcherYjjr/JMvltyRajVf34cXqKjdJlwflujfvwd6RR7PRfGbNRxC+F8O7xXySFKtj
a2We5JxTw6JHNIXEWfZV9187OpArqQIJOX5sTOpWTkChUFMi6leg3+YcPBnmdXx3d0rtg2ctizF0
sTdHt6F2EobAnCYEe2G5iKPRlSnyMKBbDe/y8ay3YmsXj9ion4GX+SNS4KZQj6e5capzkqcm6Tnl
1My+pBbf9gEPyI/JzNSGOoHnDxCskX5DptOQLP0A7ty0c5Tpds6pT2c5+N1fXWkzoGDs0U3fvoi0
UBmwAyOiE3+Hp4hK64TY6DS7+tLz1VN0AxG8vRTYL9TdJSaQTua8gM0LQBiAxoyv+zqylziMrxMG
hOs3KuELLwsvXX7xAEfI4eWuuF7E1YskmOfjZLebtguqqRVeqFmGpURh39EqxCsfqnzibTJmTh7k
hQvlEYCbFriYfVujvhPs42n9u9nvkgJkwbrN+b34VA2tKee57m/vWaXH7fe0nhxzmedC/1Ooblrl
hMKjeE3fH0n42XdN6xKSIiUZTKDyg+u/rgJbVF0buvDfyw9ZBbT336vAcWMgoIBpSINJvq4COIRU
XPbXKOGRjDUlAHPZJ/ahmO0BIBI+TEaYLsBaxKdq6IB6T0xCEHtI9V5VuqRQCXw2JK2/ewOyespS
sYFqaBCYObB3T82s7LtXKcBl9Cs4V+3eW/TeFGg8jInD6raIlr3S7p8f8kaXNCEgEKgT2WT3WITO
gCdnqbr8f019jzpQxTM/uu/e6uAqV5PRo9XoFyZ+1e7qBFEENvNGJRhdvFabQ6HS+A/Q/DVVBAOk
rF8zWABITqPuue5lywxsrWtRdmlD61ddPriBYLIB0HrV3LT7UGAdNGyNVZDkh032oHZh21DEWlOp
4eDWQY0VWnpSULp9EtVIY6x7SVR9bUGw9K5OJRwA07W5HNxy2CPuzzQuaxA2hyC86mogKO0dkYWO
yGehuvxQDUI1qLaQVIIKkDjZ1Zr+jDkwM5L5DIPjryvhFbunBxcDQviZWzoXgZdt8kGeu6HZXD+9
Xm+sxRIi4vGtG4WvUbVdrTPi+/vWClTufNcuNjvhsp3673UHnzbdaqvpVfPjSeClTjqBg7N0uOrH
rDhZOVrzIWW9SB3Xy/z13a8KKnvzfaOn9GAKW+VnmRM3YoRmqnXlZz/fvW1pYW1wbRM7CEirXhdL
RQLztKzYEyddOnOnEVS+SZAOmJGlJQexMwH1caOmwfchgC3bxKkTx8Wb35z45o83nxwqS4OWhrAo
MYvLtvLJSed451FbSdW8IC2bcTp7JLh0QmQFnzlR5jvuwvNuGg2U79YEvbL5Yfcxfu64/nKzDQk6
BPkGPrsBj9/IKa2oWpJl9XJRuMXE98jNbAk3egIPS174PHSuGznlU1cRFVnBX5zQyXLwj1qyK89F
VvbXIIqC1oTF2Zjw02QFj504mEF87RaNLKER2KiFmykrvISE2jS11LsWWfnfvCx/M/DmUJM2D1s+
fRUgkZV+7jCZM2HlaWuM126YrPTjIkR6K7DzsK+Xlp20nljIpayvUdHuMwqr8gMY4l/BJLmGLf1j
Jmhhs0a40D/bJFUV/rpsP/4kgfX55QlSdsoV9zFRBqskbW8HEC34Yfawwo7J0i3aI6gWvgfr3ZyY
1ChevIuyLZKJmt92f/kvMACXe7jdpW+n+pEV/gKytaT4oTfzg0bBtdJJ8NL3YHHPppfxXkUTe1gP
X2T8ktTOke87eR5kTzjFDLUEBtyDGZTrzHboQclOvFguKSl/7DGLTh/v8Q2V+kY8zmZs7W5eZ46L
fho55SRNObGikUYIlrvIKKREp7m8ezOb56NdEiW36nOTv/lwRPPUC21Onzb9re1iizsmM89J3/8L
AAD//w==</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series layoutId="regionMap" uniqueId="{DEF9B183-B7EA-4815-974A-52A56330EE90}">
          <cx:dataId val="0"/>
          <cx:layoutPr>
            <cx:geography cultureLanguage="en-US" cultureRegion="IN" attribution="Powered by Bing">
              <cx:geoCache provider="{E9337A44-BEBE-4D9F-B70C-5C5E7DAFC167}">
                <cx:binary>1Htrc922luVfSfnz0AHxInCr01UNkuehtyVLlv2FJUsyHyABAuD71892nNyJFXWSrslUTU6V7ZLO
wQGwF/beay3Q//G4/OuxfX7wPyxda8K/Hpef3lTD0P/rxx/DY/XcPYS3Xf3obbBfhrePtvvRfvlS
Pz7/+OQf5tqUP2IU0x8fqwc/PC9v/vM/4NvKZ3tmHx+G2pp347Nfr5/D2A7hD9579a0fHp662mR1
GHz9OMQ/vTl99g/tw5sfns1QD+v7tX/+6c13n3nzw48vv+l3s/7QwsKG8QnGxugtpVIkSULf/NBa
U/7y+4S/pUhgTmOOfn7hX+e8eOhg3J+v4+dVPDw9+ecQYBs///t/xn23Zvj12ZsfHu1ohq+RKiFo
P705mqcaNloHm357I7VfF3y8+HmHP34f4//8jxe/gD2/+M1vYHgZoD9763conD8A1g+hGvzfCYV8
SxlGgjD5LeTxS0RiJCTBVH57se8R+Ytreh2W7wa/wOb88I/C5v1DV7c/XDw8jb/G52/IkvgtinmM
kBDfYyIgSxKEEUt+nexbevy1RbyOxW/HvoDiPRz+f1CaXD80D2GoHsyvwfm/RwLzt0xQQrH8pS69
SBLyVnzND0GTbzlEfp36Gy5/aUWvw/KboS9QuT75R6Hy4TkMP6hnUz60vwbnb8AFAs9ozFACmfCb
PiKStzLBXFLyetX6i4t5HZLvBr8A5YP6R4HyXyE8dH8jHPwtYZQIGYtf4v4dKhK/FTiBPiN/geVF
mvzpal7H45dhL5D4r5t/FBJXo2kePv99UBAEJQnHTOLvMyNhb4FcCSRR8g2iFxj8+TpeB+HXcS9Q
uPpn5cPlUx2qv5FcYfSWxQRRCuzq2+u7hBD0LcVQwAjA8fPrBbn68+W8Dsav416AcXn9j0qJ22EA
aXTlH56eQ/X3ZQb0cokJ4zEQq59f3/dyAZBxThgWrxepv7yq16F5MfwFQrdX/yiE9mMDgmT4G7HB
b7nEPE4ofg2bJH7LZIIAul/Sif869Tee9RfW8zoq/x74Ao/9P4tjnT548zA86L+xgsX0bRIjiul/
gwh/G/NExoy8ni1/aUWvY/KboS9QOf2v/6+z5HWp9Fvr5LtP/A+tE4yBY2EGuvAXrfF9+UrkW8IJ
pwl9PUV+8Tf++9W8DsYvw75b+P9js+S/N1L+7SxlcNjzny2p33gpf/zuz9sDm+zF0D9ytr7F6vj0
0xvytfL8Bq+vX/LLyG8F6Dtp8LtxzyBLf3oj0VvEqUAg4ZOYgqoEcT+DOPrpjWDAjyXhgkkgDfA3
mGPG+qH66Q1O3mICmh9o21dKlxB4K9jx57egKFIUY5GgRAgGpfPfXuCVbdfSmn9H5JeffzBjd2Vr
M4Sf3kAF7b996usGE8ol9D1QTnDG4iThHBbXPz5cg90IH47/V0Kj0rWCi72vRr1zqJFqKnmdsVoL
NZj1+JvwvDJdDHTz5Xw0jjFNEoiIhI18P1+Dl4KAYEj2sQ7lvsS6eQYd7t5NsenzZZ3mrCu24NQI
nwpqWychVVOx8W7zRZvOEya3eirElP3JuiCLfrcuLJCgiGEsWYK/X5cMoabN2on9jNtPg4F1xHMk
VLKxAx7oiZSb3duW+F1Rt0tWrefMjwi6yb9t0leCA5j+bg0kBnMOQUskmL1YgxaOF0szin1fL25f
6FCciLi27/94llcQh+IumEiITECZfX3/t4hDkJtqa8SeWHZgev4ALkd9mOu2V24O858E9pU9MYJg
NzRhmMJB+n42j32MlkbIvTQJ3y1iaVUz9vhPZoGkfBk5CRkBlJsjOMP4xanChY7dzIpkz6oOtqHX
WZl2vJ7Abv8fB0/GFGqxhP0Izl9MxKINIvr1+BY1QqqLmi9zvblUE3NFGv3NVP7mKb9yHl5BSsac
gJYglCGGXky2jNTaJNBkbwlFaStiqqoJ66zbeJsuDT/88d7wVyxe1AKJY0EIhYoAdeoFVnUs6OaT
Mtm7iGrlJyvP5qRA121c8aPtKp31xvFdNcz4sNnG7mLUFZ95S4yazeKuGy38nphuyojmRawQc33K
iWgzxrbtasB912eiMtIdx8bUKek6MSjfb9Wk7OzmtB+2OBtZwyeFGv7Od51/98d7jF/Jc8kkxxIj
qMW/O4+zqfHM1jrZl6bCx4ZF4rhODKXJxG6j1ez6pghH48svCan6nGKN388lFX8S6tfOq4TKTSV0
dUboi0j7ZqWGFa3ct+1IjwutLwziUsWo4ukfb/j3M4HUhP4B8kYwiPWLmaq+CrNspNgnRd2lyyiE
8rb7FCqE8z+eCU7m7w+sBJc6RpiAAk6+vf+b0uK6mEQJDsmeygnneorqg4eKf4URX655BAcBu+F9
qZcub8Zh1dkgkEsLbvpZabvMBxn6dr8miRxVGBm/GeuJPbDJicPMm6FNiRvXGxkGejYMkz3VVVfv
ja/WTvXx2Cy7VkiWujF2KeqS8YjkKg59RflOerPuIxdc5r3DOWFexvBB1MaKlZYV+3nALi27uDgf
q4ZdGhYvTRqqwPNyWnA2JaK+LFDXPKyu6Y50knOOWrkdVskiZSeXHLUbkvuabPRyxrDxLdCQRgVq
FZOenwiEi/O4WTOpB5K3Rd8dK1b7NHSxVXYZ+/cU+/4ej6Z/ECUSqqycwapaXZEaO4c8MdO6M9K0
hxoNzU2EencpUCecWpJ+zrRfNq+Wmbj7fpmKcz9VxV0lt3o/dU488jksVhWIfNRR88G0WJZKR5af
NoO/JNKTi6SrMofqA6FRdzBTTHqoACW+jmNhgyIVF6eIknC5TStS5eD4Pjiv97CdPhWTbFTRujoL
mx3bk8nWC1JQpdYzOUoAs9ZjN2YjLsYkHSNX71s3T89AmSAmMzFnVWV6ZdsxvnBDUUDICB6PztLw
IQ5mumNUNC7rWB+4KjySd0Db1kExI4db0Xb0OI5oSmfnotRzRs/cxLvcOlQEVZeiL1K3QetXuoy7
QjUttWOmJ1EfcCn9zgjAG4cJwjdFgT0UXM9ZCdhCEZriOqc9Yx+rHq+nicT0I6kcmpRAurqcSoeY
EpOGecSIgkiheCxQOenqudLdLO/mwIb2jpDWqAmh5tGxBvaQFAxOvJyacNNSIEJZV819XgHFOemC
T9uYJl+2kqyNQiMwtQwNpGj2AvfNpho9rmdYd+5k4wO3Wd3OK6RQiVRVLHyPNyA4CupB9xlMj0mq
0hZRJql3Ry+7RJFSj4epQMs536KyVg0t5d7aaPMp0l2XCVNc6HEpD4zYqVKLiWG91eyJVZUYeJ12
mFdSRVG9neHZ78YpdieVZP60HEx3Q8w8pLped0ufVO8xkkte1/2wC7C2wxzZcifdIA+CoQ7wXbqs
5Aucj3bTsNSqHfkusWV8NxGRnJLVPduYubwefQ381LlPspA8BoJK3DGKvVc8anCq8TTWKt7YvI8E
p5lrNUQfCX0uRiPTalmrY2W8gL2yUpFQdw/Il81FY+L5IIgvnjTZWKF0M8/vpgb1WQsQ3xQJQYem
jtp8XqdqHy3QhYGK+seJdcM7LMN6kHPU7X0YRe5wGe8EIpHqsNwtExDEZYvpaYHnJl+ScVZ+bKia
+pOS1eI0WOGGtNtmEAqhFGnRFLflOtFT5+PyMtIrPvV+kA+14OQWb2zI27IkTPnCj8DKfXGAy0J7
qLqhzhdWQyqIqDypdTxlvAdy3GFWnZb9dC+EDyfCIp1C11vVPI7jwRebOR9aJsa0p/OWWVNTVXLf
tCqJ2ialY2OzpQPiTdh2EYir8qlJthvsknDeb7r+vNRQcVGEmxTafL13Ti9XYbLzscFRcd+XqFSj
3uQtd3TLF79GmVmT7byUzf3IJd/b0C2pNEVIS35VtN01Qro9dlXHj/NItCp0k5XbNO3bUUQ7S/j8
bGYzYKV73W2Qa1F8v0hHzmkbzueiCpnomzJdZrSmmK7xWTsQWiouqnbn20RnrLXzzlLZqxAPIChi
3qvN++m6CL2pd54mQbXDhlVjoi8LD6qbE/YeSNK2H13lFLOQynBzu49jzvJ5tvE5NcO7vvZnpDGr
SuKoTzeo4PuiMA+xtT6tYOfEayhApVWODosKSciqeqP5gucpJeNMLtw8FtcGFV2eFOV62gh6Tu1k
MimiTS2EL7t5Ht2nQhYiTdbYpnzdrjhzYtfMhs+KLzO/N0m15HFbrrvEFZqkApVFnVITzUCrVtPf
Ai9b3mFTk0PLSbH39dymMRSbi7pDvYpdJG8q2O9HL+fJZ3ppPUSDd3yBcu6aRcXtaJMscbZAOVu9
nnJuISIqyC25apnhLXSrzX+YKh8+4wgXKHWJ9OOxbNZF7LjpTDqE7cuKa6PKmms1J+NDt7X2CF+3
qUEsYddQT1PwAV0W1vYaan+GoPhcQBK6/daEIsVE6o8YEXeCy6JU8bhtKl5nl+m2rHZ1rVcFFyGQ
xrM/9VuxXCYtvZtwjbJSRreknfuUQJO/4pEVu7AVjU51FZtEFXyGk6tDm24JdTeYo5ukDu5g+yZS
ctjQYQi6OVnWQA+dG8fjWDQVVPnRuD1ncCgmh/G+tC3fQ0mJ8sIHpOYet2fr0OGrsW/rzKDKfLSC
htxRlhfR2pwaD9ViCdJ+gYZU542Z28PG0XRbxig2ab2w+dm3G6PKItNljQ+b2jaJgDOydRdFwh5E
a7vjXIcvFmN7ssxFfENi6XYerVe1n/TJujGWWkmWUcVxNN1NWpdf2KZ9XgE2l06s6JgwV+wiI/31
xtpyF7riyUs3XsQmKndtLc0JF02toTyO+rBMaNnPjV3TsXBNPnTonduoSAOp8G4T07LbCkZrVdLS
nDQMToJYMNrFZBzUgpttZ5dan9K1lq0aurGe00UPczqywj7iBbenhcF62JkBIiJ50+4LI+MjraxQ
fcVPNR3vV7/Y88UuF0trwxPr+vHM9aTPyrhdUtCGFyOxIZcFXIWSwNm+Q246dmzdaxvdmWLVWo1b
X+bOFObEFl2TV/1SZuXIu9slLMOFTGa7R9AED0tfnpi187e0r4QylcCZk5N/cmbeoHMDKVC4tnVq
x3LOegy1WVteXiS9Kd/FkzFpQD1XosORVgS1NgMjY7paKv+hX82gbDSeVXhq026dc1tB3d4G3eft
uGTeLqJWk932kxymtMWTClufnOMt7mDOun4HxJ55VTZFtm5FXypDBFbdYu5CE9W7PjH5pNGj4fVh
nOPh2I6rV0kV8IHYpMxFPEEXJgs9DDXb9m1k1CiTXbAs2a18XWvV95E4kXZpMkzq5EDa99MSdZkb
dZyBhMqMK/s9UHmdi1KWOa+aYl9Nst4TmF/5jj0OjhX3SccH1SPI5nnl+dZsh6F3t+sQhArTejJE
451o8HRVTVsGof0ohwh6dBU9itreYaLPTc1vygk6VN3Fl+2SPJf62c9i2ru6HhWqy/cDHyvVuf6k
Z8lZzeLzCG9j2iZjOGt9dObhBJ1RJPW+mIl4tEvS7ErcpdClUiP6aU+46z5s5AmsuHYnsIvTeG66
tHV9q0a2RgBgqN+Ptg5Qxcyt38Qddw38cQ+6Lz4tlp1VcfuRYjacho76dGx9szNddVtheWBd934W
zUeD3bEfaJuyYC4I17B2PFnF+2nOx2kt1dDYWeFobDLKwL+oHD4aM7vdzNvrBrLq2DbVZ7Adjnxe
s0g4piIcq8FNU+aaqjjwGE+XRpbscu2T8Dy0rQTTjB11EXUnsmZ8NxXztu/m4rMmCQhzkPvvB0cr
qMYFgpSNGH+strjfdYGmZdGxnZeoPVl1i1JczNVXKsVdTsmapFUrxiwspslELL2Sxpxj6pc0mAW4
Sl9IEPcz3UclSIQw1xpUfQQcBjbc4EZDKRgLJSg12WYBb9CtVs1RciN4eUnJXKcc+09Tt+3CADzf
cGCfncajYgXU/L4EQk/kdbWRc9IUH4bVXHS8oMosgHsZ9Ug1SeuPVbX10PTNLRrokvqJKLw0/X0T
TzaLk6ZXtf2cRPQDb9GQbh569toHAM3rux6T8Wptp+5uATNUrYy1Bz+X8YFu2OZ9Ua2qd6F5qKdx
2Fe06qCk2OYkMcirNXFR5roZuG3iP5l4nPaUc9gpambVNdMli92qqo7YfCPt+CVZK3JZ2wXYHSft
bkXI7iK5DNmq0bkBzbJrQP+czKYAcsRtyrC/8gMIDNYLd1/1Edubqhj3YLHcuLG0u6J3KZvKCwH0
8DK4aMwXqB05lQU/txJrIP0L6OY69u5iw8goXy96hziIY2H8B6KbLR8FQTtce5SXxSDTZObLexwZ
kC6mBy7pZ7QrbWIfF9jUSeKTNuMLQIrjsT/gKhr30G/RRe8qdCytNiedO5h1a3JuLD5Hq2vzMozN
uSaC3oXY8juxsOdiiXGGsZn2VUvQh3Zqh4OJm+im7yf/eYazfTV4wc/XmvRpQ0i074dq2i/dUqVz
K8MFG0OXU7BxsqSqEoVc7Us1A5s3wPtCcousTqOxHMgOxTUcwwAeX9qS0CE1Vv14DF2L1ILaj6sD
qliC4/VYlJXJaxevaeWBCg0gkfeyYQS86ga4UoPGA3eGZY3h/KT3w/px3NYMBBPPW0jfHQrxeCxo
Q/K5YXPmu3K5qhFrgC3q/iRJqikzgb+rwIhKpw4Q31YpD3hi8W4BL0WrZh73Fof6nC7eHxvU5kbO
y05CooOW6vypbeopb2oPvJKR7lzOIxBc01Yp0/GcTVtRHftt8vtxwXzftQM7hXnWfKx1td8Yng6F
nsVJIWQBnot1GamBzYMAu5kDJp+0aeKUL8PTIsl8H+vyk0m29twtVfGhrbcnkOP+Ws6urVTpozGt
ozHsYu2n0wiFW4zZB5g2nBgvjxUfaR4qoMOBrmvqC7Dc8BLqAED56gKjCLwh4wPJuxGBF9RFMbiO
NU9LYeD4WNvvWGWLcgeij34YSx9ncAT7D1MDbbrQdlDCjJNylQVttTbcvAOvwtz20SxTL6v+odEV
ua6nGl1h50herSANFd9qf6Wx/OzaTl6DH8fTPiKD6mhv07nYmnSQCQGDaUzOdDD+zFincy4XfZwW
A5aoK3juItvto6gyaR+EUSSJ65O1WjcQZt4mSsR2ThuzfZoDRYdyK9f7yvpFtU3jweHgn5PFNkAO
5JpSEpd56Eh/2ZLCpnpa6zM+gdKCZ3abIxy/d5LyPlbelO6wlKQ6KyfT5Ju19SmeprpVkQZH9bRd
xjZRdCTTu7VB9GlqZodPok2v+2lOiEgJ35L72CxI53ROFpb7saq/WDhkSUr6tenPqhIeDd86mSRp
iyJf5CJaBppR7dv7mbMxj9YZlN42bO8RLum+n1rojqumGdya3DR8hJopvX7sClftGhEvmViWMkeG
h1SHnt0W2pzqYboQXexPWrjhVFZD74Bcbbdz4zuZN4kgsItkC6OqjKvUkLT2Dibyt/CEvb3XX2tn
bLsLawa9a0yfnLFKxrs2nisoc2IwH3vbk5OBdTjfaGLXjFpXHGJWTLezW7cbXUzufa0JPUedRPkc
UaSQiVa1Rg247KHt20Pcy8XD1PWYua3YuBrWGGpih6D/RrYVndpkN6VlMkd5nVhHFa2iJm2Hsdi5
pAQvfXW6yLSGZqCScYx6xV1od1Ex9w9cS8y+YqLfJ1B/LsZOwJP+hkWdKkBM7kcItTiD/l3pXY39
dcECVC99zYXs9nKqlpSBf6l6icrzmY1XtIxZBk7OlIZi4mqbogsw3BNVF3MapgIKL9wj7CI2e+V1
7/bJVGZ93fTpyGkqoyhk0aJZrybp9DkrG6e0C3eJq5sqqzSJQCD0/IGDlDrISeDU+2LIZzn0cFc2
jNcgKQvI/67Zd1XE88X1sKqhup9X6H6YjUsexRrtwfp42gKmR7NMm7LbfDeu1cHNw7wHpzZWUhTo
KmATciIFUmaMdNrWCT2YwbTpWml3QkR9zQcz5naaTgqKliiF0xJnHFzhHFyd8TwJDf682KQusq7p
uhg4+JrsB48mBlZoP5zSxI/7JGGRheKFxBNvJrkfV9x/APujf2dEGK7LWQz3QormEiIPuhisu108
+eQSuNyccleKXQfZl6EJPw9V6Q9yi5dLtpVboZBsi8/gwQLDB7+8PzWkHApFoeYhNQX43xK7UZtI
53Pp+ibVVg7DF01RvOQoLjaU8XmBa8eOmQpqJunlLfTSkamKtOBmsXUEGaxt4bfjINfeAulGcKUq
hlZtNunOB6abW82nIo8r4c5CyeesQF9vXIo6+rT2fbq0dZW3lYVvH+dwzeae7rs+RpdgiyTw1UGC
fRHA0WNJsoCJDlxWpm5xuL3sNZTpCiMFNz1LarzJWE+ny6JtsyE0Qc2kyUEBFWnv+y/j5m/NsMhb
s8wG2m65NokqTeiyJN7uO7N82EJdKTpovKumOouCrpTohzK1a12flBY8IbjQOZZtHd2FOaozWYN3
Cba7Tutqq0/6Ysm6rqK7wYLqciVrDvBIJIjZiUZgvFSeHIHBTkbVvuPbDg3QFZUNog9g7czSpF4M
jaJhHkslomrcFNyqRBc2kNXuUNSBjwOORnVDEsJOgfTZI264zYe66m/4tHZWJQOPg+q7ALfUYHjw
Qm0jHq4CMTSGAkb4e1T27uB1CSLSg1qxGSmoP4kIRoNa0brstAheuRJsTTQn/B72te2GtQtfLyqY
vSPbNJCviqW9KlBpwbjZHHlasQPSG/WRzHppYpyCs9jfivVrsdTTVwtZk4J8oVxjoEJCRPsG7hCg
vYFf8oEtOrkf1io5gxspe97CIwLXcPGZHDkm5BaxsuwzzqKqAVZN56CGNsiP0yosEJmoM0cEHQ7B
2UY12GkcTLuRdZBbzWSNy6KYxs/UUHI7QgrfFajpv+jEbCD8ZegujUMYrhhcgzblJNVPLmLoWCzr
ckBwM3JTd6woM11FAfqO5Z/WhCaXrG/az22yFeCYluXluFh6P0ZkAnU8lt1Dw+R20ncUfjazBBui
jUAwpUvnp1T2lt1Iy0Sf2o7GD6Ev8WH2w9SpICp+pVEBboRwobyKNgrebhXtcFXUdyjI4Ys12N7B
JVLxoSs7+zGC3M+jAJFvIJz6yIFJHlZTbx+K1Vb3psSQmmtdDB+xj/gDuMD0UxvWkE79Bo8QkLqE
wwYUfiNTkhs4Iid9RCm0FNvkXbIuX/Am5jQC3yY18LSpCkHQLl2dIXcR66ojWdB67udZfmxirFOU
BKvQKuoTDjYzh3uMod/11hcPG5gskAC2dR+FGYqTDbg2kOqt9XsNBFANoQvVrpzYe2he5nkyo73i
xqM9XDZERDHmyxxoXpPGOvpUg91jFdzDI/BuUJFNcdnup1I3F/Acx2AUlH2XE9t3V3BdNoDKK8Hv
YnULpMTgrr9Zw+yl0msrIDgMTEiKQ3OOh7k90nkVx6WohpOa2v6pAZLmUhsPxKVNnLSbwqJu3wc5
I5QNurPnUDBEn9EakMP96u0eZPKC0wk7UNG2Y02Xm7rVwLN5gh/jxs/vwLCerxAq3A2bEvvM3Nie
G2T0yTYW/IukTJwXQ9+flTSJohTHE/nCxsE+a6xnqqLJjh8NPHpy33gfEtWSxPNM1G406TpTWqjV
EP6/2fuy5bhxbdkv4g4SAEHy5TwUq4qlWbbk8YXhkQM4gyCGr79Z7j7dEnfLus3nE9HREbYlFAvE
WljIzJU4Yakm+xIE6aMMx6DexX3oqh3Lpf/Wm2b2voja9ntXTO+DBKhoJ1GRLHZw9S5qisAAcR/F
vVPafmllUkbpBOxUoZ7iyDCA3t1JzoD1wmSR7RHHAEyyGhYUGB4fnH9ZlyNr9+Uc+OAbTF7dWjOH
/T4E64ocUXTxkRblfFXW2L/2AnjFUbsRS6ftlrZJSYzNhkgBInqIPf9mGZkBbdUpcuurCIBdNM82
DXlUfFHTkIt9McmPLLBDvW+jsbxY2ql/W+JFxUcWS/ZOgiC0B78do+8ojdiyS6rWfquLTgNcaYao
Pg1RS1FIEWntEau5llkeYM/czZM0PI2Sjn9WfcLL3YCS/6rIqX7H5/POlnCdFc4Dau91QXJZRPbr
NAm3A3OszQ5Ha8QJaiR8A5AJAeFpP2LLBY5twONEn4rGNd+nQueALOcwLbmFVCQIrsMZECb2Ajbx
jDLOyn0EBJvsqnAC4UHxD4/BvCxqN1gWdIehoC2YjiDq5wMrK0BnMqi/5ZI1FxGrQpI2xewHe+j6
qkPb5OO3yUYWuy4LsP2DurFXQnhN6uuZf3QjWAeQGDi8tVPeitPUCPq9bmb/yk6swwHX2SCzS9tl
VCw8berZHnkDEghLsrvQhQJRFoFMu+cJ4ExwkAq7iczlN1cPAUo84k0f6qhs93pBNdGXw0+6BMlV
6LHksoba6l476jU7fG15aSc53VirvD24WpzxrTgy7ns7D2xfhrNNX+5xah5+jvFCy13S1NV9GYd3
DXjfjBRj8Vi2La1SIj1zqtugXI7g7ctjJ9mXsPftW4/X7JvHAe0EnX9tSdB/VyGt39GobPyT030C
8JeNHxPs5tde0Qe3zdB7bwuPvCbEOMsfnkteEp9BBYWNm7CQsbN84olioRR+NAzlGJ/P9CBPcWK+
j3hf3jXzUGHfRql6twRe/c5fFmylvxdMsH+SS0CCAhaURATCm5W+xxGPx1Vi4szyYr5L+DCdlkmC
RfBB21Nt/DTHmQzEuF8v37XDljIp1R6HRQQ7hTcrBhmmcdwC7Bz8Km06EEyd4fSoUcaDbybBfVdo
Clim5REFgBq608RZf6lZ7W5mWd1KsoCqCIENUii1mlRp4ZBXUAFjr288ANuCZK0R3q6COmjPc+Qy
NSmGCiV8NAqHg1Db4H6s+Le661nqRct8Gj0k/Lrvon6HwxikUiamr0wd+W8ZYZIAs2WUUgJ0MFqJ
2FosJUwfQ7UODSXODf49Y8b2qartRRdAsqQttBk0Ae8eWGWvKqnsMWkOqALOGgNN9nlVJFHalksX
71TLD3VClwu/l2XaG+/K+Arn3UagAKZ1fepqEb0izDkLSddLLwlBaLEY/4c+56yce7L0Kuwlw5JM
SeZPQ40jTrK4Jo2dKa+cN78NzML3Czbn1FpZXqK3Qf0A46UuJv+s1gPgFgadQIhpH7AHdBuvrM1/
ejjGY6zLKIEydTW/BTA8HvA2yUQAoApUZJFc+3k3vfIxQfIPn5OcpeYIAaT2YPU5AwhjJvMhyUB/
WoHtO/JOWk9qb0zDvxIc4JEjxZB2Qd7tc7XwtxWKULMHMC6uoNlJ7hobC8hmECxD2LV3M1W+3Ync
eQdW+Y/DLOT7309NsJY0nnXYQRj6kE6yGNjPSqY5NqMDIIG1t0iCpOBIF6aRD3CwzsWwA+7P3ifi
rver/lPjgJ6B//HTcmnKS8ss30PMYL+HdWLQrA716J+y6Ps/stYf0t5vPUqaClv16o//89i3+O/X
7/z1M78U0H//6eZ/HQZ++1PZj/6scJbrHzo/zV9j4dP/fLqzMPrZH/5Lpf2CDvsPw4IX/vH/U6RN
OEds/SW0/S+R9tNO5yca7T9+7Q+NNpqAKFoaIsixQ5zln2i04VBAIGhL0CJ0VmjTCB/1p0Y7oP9h
0HpiNWAlRFDUYiHIPzTa8X9AFkFHzBlOSyEUofzfaLTXQYL96axthSIYn0aQtp9nimmkseKGT4eq
GO6DvF0g3Ro/A1Io0gkQozeLSyaNO6nzsfnJTP25pp7Jw+laMBlDPsihQcec0ADfCO2FT9OU8QJA
/NHQQGHguVM+8yL15hLwLbjS3ayieeeamlxXEhoZhW3oeu4D8I4WnCAKEUAx5Yxz9S5xztwuYSx3
xpkQ5Lczuyms6OU4JedjuUxuaCVjRIdd+lPOgZGegNHs82mI3iyJH4qboY2rdOT8kZbnqrEgGDBy
OAg7o4M71geNv1dc3hRVC46jEnPao6A7QvMwAIdtJDRuzHmPgT9K0DctdW8mW5BrEkvvMXKgiHjc
J3eaFuc6EoBgIfwuqzzPvqurkR3GCMK0oDYOOiWuMmL98CqBbCkLq8pcOAZJZGomCKN2JCo9cWLR
SK5BrnOJw3Kl9IU3hj29GnNvHDIgAnlWVAmYUg+Cs7Qvbfw5PvMEkDMN5C1NgmJIZZvMOKN5mDUg
EScIt+X1DJj9pMVYtm9aWiw/2tz6nzomJcRiodfZ1HcdfjUhWn/URQGhghfr9qGj8oPCEfuw5AQl
G5mv4o5dgbcbTgWkBSg84iqrR+8zV35y4ytm+B7l8rhrlFQQ3oD9r654Tc18cq0xt2oYHV6WEFdL
bNqsKbnISFxAU1SPcX/doeK5KBvTnuhS6seC9nWW5LrYV5MCqydj7+AUXrdEhfWl6bgPZmiAyCOJ
WpMJL7lr7aivE1EVRwEE6YZ6AixIFHYoOEC+RZ6MTwGApkOCyAn3ZlbBta10OaRt2OLYVOscJ2Cv
weufQCMmamAXRRSbXedBn7Uw4vZ8VvIDL4L4QyTAuwyAQCdThFdxMNKdPK/zuQByN6IKuaF2Sh4X
3lfg7dS81xIKA+obuQ/bZAh3xVgaSDVj+RgR1yTnY7N4iAuZBPslhESkT23iyXIv+hEIMFoN9Oc6
VjQ4DtAr+JhiH3iJkEuFaAl0iGrbuZbvqCZsObZV5W7jLqJfO5bPb33aASqLoIbNbBfbB9R30Q9X
kOkh0jJBO6Ik486WyvtcV8RcV6plj5Bj4xwCzcQY3bJSJDgbm6Wf9mBgcn0MPA9CliSs61SDTy92
RoxFfzGLQn8drAHLvtSEXNdTMAWf41jazEWhTVHcQHyaOF5/lWZq7nVbi/1YKBzTKxKCrxkvZFeF
EKnon24G5t1ORh9FR+lPUIfD98rI+mQhh7sZhSov3DSLfZAPDhKhkS63HIzNlR9WA4LaBPM7rkny
rc5pfoEjttt7IcrTTmpdpoVsw5PwR0hEq0DKGxdM5cHSM5UJTSrkFDq49XsHZadbuqPSffUT/RfB
QUNT9rbzlvgBEGDwpS0cv4eqSGV5mWMKTSzfQejTZ80i/evZFO1HKIPH9z2Yx3dRnLCLUmoclQc7
5/tQLAIyFiV0NkiJqlN0jZFplYNl/dZUpCuuSjoVEJbVTczekb7q9QEa1vwjpEpZXtvyZ55THp2Y
9ZUDYBv27kQ0kKjdXNX20PP+GIPssLskdG28r9WEiqfwx67YhcZycCZeMu0NgJMvWGngtTqQ1EhI
UQIBlFchG9uhnIq0BGBcH6EYBklKqWoPKgKyeT0Ptr101AbyiDNzcEZBSXyRj3HwOfTC5F5NbrkY
/Sj/ICmZ8n3tLdoD6akr6J3yBWGzVF7+BSdpsE5gjPVVAYTnPWT+c3SRkwkQ/FgL9yYY60amAS2X
Q15U5ktXm+F2nqBLuSyhODwsnv1kgUSRvQWAnnVL4z10ig4/xtwuF1AXlwcdQe958JVC4W4XO497
btvuIxa/Kw6tW0yRaisSmol87msoOEYIliE35joFTDHLVM0jcBOmh+CTGRa6X+ZSBMe29Du242qc
P3kdeLpDJAb2ASyg/3EE2Jz6oyPfKjWTlDKX7KELm45+U8g7bXjyXVLX3/qjSeqMhjP45oCDKUob
l/eZLcwSpvix6mqcR9enxRDRx9waABuARap217N5PIFPxgO0woli15ZO5zsd1KBVgK+13k5IMQzI
maild6WzVZP14qwhyotQtSnOSM4cY6EHL2t5H3s7ct53YALUv8fWAyDV1nWkcLRZhneimt2VmOrk
iFfWpRo02ZGJxkBGBb4Jx6IuASMbzZBxL7LbNSX1oFXt2+5+zKVKQ4ZwGDwciAJhw3uZ27I8QFpM
7+pl4bcBa6a0GEl33dpJI5u68qpNRp2VQlWQIMW87lLIdAHzJAMt33oBTgV77Tvp7dii/XOgQxfn
5okcCj+Jv6MrC+tWQTJmwA8m8udk/fjOOUH71J8NCCm/QCWU9GCZAP2yfez38xtP9BmdubkvdZC8
dUIX74M5rHc9gXoFpLUCo1sSkDFdCwAIasVrMNPlHTSaCFvCPfau6cflG+hXgZippmhH/MJCC1ly
30FiSX1AJeF0E7vyGs0ch2ZasCGrUWbM7wdUEKSEYKrWt4sb8MslG8Ut6b3gHmgovWUmQI+Ljrzq
rZlnf2cZcJ4ytwfXti1kX81b5aEpxutdkKImO1Z+AYKF0m9s8cK95tOdsFB8tzYfdqwe8Hn4xbPA
p40u5x7yNSc4SVtAG0c2UCD3cd3F97rsk3rHZUBboH+MAAbiQ3/Vizj+iF1O812PRYU6CIXQz3Yp
3a2Vg2ku4spzbzkYD4q2PLTJ7TTg2eKClBA77QgIqx2O19MPZYGmZSyu5m8qLid7bIGVlbtlGoZT
tBD/WjTdQnZj3FSQbwDmDpFaw07uEsjy9QWEXgOGLhyqNdGq7oExO15JOwNlXxoGdX1UhNgPB1Wp
D3MoyQc9Qg0RFbFrsYWaEbwsBwGxg70Sg55y9Pk3N4joDZty/T5wKCnTcanEZRHTgaYzQfV1gFSz
fzcWrYSCFvwQeBHIL+5HObhb4U/Laeoi9lh7eXLyCanvaMHjj0aKCaRCoCDoEzE3A1iLCodkAWoJ
Lw8JfEiLpCHVbgzF9CMRpCqPiyMtxY5e24eQhiHILmkISzuQ8+HJN/10rbyklAf0d/bXZd0OP+cI
nGRa1EACzu+FIa+CyIJylzMksWrRobyeRt3ou65lkOBOhQcoummXxR1Y4dn8rvBN3O3rIsBbHywQ
RjQPJFWzFyiIw2NoS/KwQFHuXao8KvxDvRCyXCZ8XOJjEAgUHX2TXKolamKUPb5BBcxzoKiWCRBu
dSJRrZH4cXCafIhKn39AUNfLZcAmegXQz1w7JB2BlC6id3bIl+7KgJsdodlDr9dOmCSkwM+TCSXr
YIYr1zXelxiAo9nnnou6HTqnJnCjIIEBJeLksBxnn6sJmDjC9bK0ORQozVK/nyDUqq5dOfP4Ipx1
cdH0kzqW0+j98IM6vxR5APjcx65yYY1GKu7jsv5INfNLnBK8+QPe9nDDAldDAdzS+SJEMj/lsiFX
jhUTCp18vgYz01QpZKqgF/DVDxYPoVLDmbkdlrABUlwWaAOpUR4pMHFj+Dj7ZIQu8/fnseCMCT4F
LHHKTGASFqH/PgRRvwYsO6Jm1VRsPgApby76ufjaVd3DGAwfadI+kLDDxhqVyR5F5mdZL+6V/rk1
9nH+eFhixWjdhUuA769AK3S6kFZobz5MOZp0PTd015j85ur33/LXiXb9LWHagROnj8+BB8TzQ6eV
biHaMXVYihlnwkUNRRp51ItPrDxD9GIZWmhvk6783mF7gmoMCqR2FywNNErGhhfW69Q1H9r5raii
5OY8ZSlnPrn19GA/EoKDQiV40QEwrKP5nvq8z4+/vsT/4TF/2Hh9e+qj+L+2HOee8uDc8/0yGvPM
kOCvn/+zVT6CWVEADh0tkRw2ExxICDpg0CrP4/8EWHIgimEnhTPRGab4E4ahEcCWM0SB1l8A+b+6
6OUfMAz/T8TRlAbjSRLBBSlJ/lWr/PO1DzEtTBaiMExWHAFal/JeVAk/lcE+Ce/k8q/avv8edxVL
CakWLqFoPsxhCfmcc9Z+KAk3r3QRv/TYZwj9Cb5cR2gj0qaLDsiE0/RWc+cXjwUEJT+fvL5/goie
ZaS/H38FgyatE7ESEL9BvyTdmyGAfgrSlDoMdsgcCE9G0cz3R1C92BL90pdZQWAS777WRQdBkUTW
QPsdLSY0t/D48++/zDmx/J14/v4yKyomSkZ/qBMo1FUwsJsg0Kx90H7t82sLDBqsISjYCcXBOLz9
/Qe+8IXiM+b35O0MsT8s0fkDlyaJzGVfqlylTILvOfz+A56Dh399o3Xjb1w57c+KoltJyEhfcktz
kg5CkvI6FGVNbgIllEjREoverJ2PPsTx6Hfl8irE/3zH+vsBVjkc3K4UobThQRXFMqYxQQ8yDX5C
ODRqyGkKDeWFspF33UNYLQ6K9D2kkx70Me0fyPi/XTQxfz7H6IhqlybUmIKYhCmd+p9RqP8dU/L3
11tlhR6RqmM7hwfwM9FHv7dor11Ufff7t/fS8jj//ZPl0aDjhks6hQdBq+oHaClAah66aF8hoV4a
fpUbek+H0GaH4aGZo+V9oCFZNLmLtmWeeJUZpkbjSELG8DCjr9QdoMxDWxlOGv1rHNpLj7/KBsQA
tbNNjWzQo1kxtZwbthtHhNJ+2/Sv0gGpUT/0EofprrcRv4dGuZzft/PsvZI7X/gC0Sr6ZexD4WzC
OHN90KLmZx56tyuB3t/fP/95Ef5DOotWXf8JjguNIjbPeg+no6OegmE5gBMNqv1YlSzZ+DGrEKes
z2NADtBUzhC7nTred/7BdWjEOgzVrM0rbOFLs7WK4xE6v5xCkZkNRLhHMdnyDmYiyeO2uVoFshYm
DjTKjox4pjo0coooJEC2Hz+IMBbmlal66Tuc//5JQJdxMYg4GuCz0zB74bXOv0uKYGpeOR+8NPw6
oPPK+pgcDj58JAbuGYZ94uBGXtlMXhp+FdE4A/bw8+E8Wxq8gbkp0GahvGjY+PSreFYV7WxjYUnD
5CLwDmxsvJ30beU2fsAqnkXihWNiMPuAGsbuYgjCTh8mNDXr+98vohcm6Fy4Pn29EbEUCCz67xNZ
Vu+jWMp7UxXo8/n98OeV/g/xvHbRaROc9mtVROjfkGP+FhqyUb2nI7pB0UEHjcUbwAaUX/z+w176
LquojuwEQtMPo2ygbK5Os6MGvfmwM/C3xTNfxTO6x0c+kynKYAEFXka2ZEFzvmLTa3vzOc3903St
QtoWdeG3wDUzoMbDBASERtF967mFX0KA3YqDKYjtPjZtTD8rSGS6V2ZudUr/qyjg5yl9EuWNKfII
Ynbk3SZuhkuIV3EY3zmRoKyLZ10zNLPNtVugWsbh9CiMK6I9Z5r2D4sP9GrjBK+ygc25F8XCy7M2
8hQaenSUxVHzmghn5aXz97dcZYNwmU01kjHJqI+2uYML8mU+oDXPNacBDLq9AyPT/4SiVbdomIu7
8NZAxoMOQfiZ1R9jCA/DV+LipaW6ShxxV4dDryv0nkS5pCl3yY/BGD1uS9prt6dmojywpo6yyRsg
OJyBbe8KGhffNwVauEoaKpjQWV2jc6YYTPwpxFZ6KyE235azw3NwPFmLIy262vMi8NNoxatTFcSw
TgAEb+Urq+yFKDub0z/9AFmNNiRmirPZ6pxcxGya/K9mCBBxJSmhFO4qNaBb2fGh+Da0aPfY9lrC
Vf6gumuwiKDRRLt/CzHmSGS7s4rBM2Hbi1nlD8ecGBWfooMaw+DALVpkoMD19ttGXyUJnid+V4/G
ZdCsz5nrImDykIC9koNeCIlwFfswqSg9g60hqwkMn8gc1Hto0l8ze3pp9FXo49TTny3pHHTCY7fz
y+BDV6DjedvErKIZphwdM03hMuh55xtlIWs7NGMZ1BvHX1UBJTynBjpZl3l5m1yQxYh9jgbUbNPT
s1U0U8DAUJth9DkHsK8pxMkwd6q2PfvaMSzu0BGwRHit3kxK+M2h0ZGLiG1b8GwVyjXa+3ydS5eN
QdUcZdIV6RIyd/z9zJzD5h+241862CeZqMvD0rnA05n2wh84dorliFafoctm9Lls/AarkEUfBdog
Ra4zisB9m4D5PQSsF9uO42wVsnOHUkg7iM57FvILKE7UvrbdxnTDViEbzBCHx65WWSEbdlU1bXQD
2m3jo68iFht1LkRA52zs6zxIp5DIFIYxotz//uW+kBHYKmjRpCOF5wDzwEjHXIq5mK8VLLw2BtUq
ZIGPeguc3ebjBIsN+UC1Hzd3IZrAXxO6vfD4dBW1IqiWsViIQUmoXCqG8JNNYAO4aW7Ozq9Pd8iw
9gSL43w5oD0a3YdnIdV4tkPbNvoqaOlQM5LX8YKZ9z5NBPVdl5h822v9ZfX3JGYF+pQgIud/Pjoj
I9mFC9/66OtoDeMcFHGwHBIN0JicR5fbJ+b8rp8+u78MeSMxuqmTMlUxvDY46OuN076K1hJ9Qj1U
mhidkR9jxZpjURUbka21thjOiE1cFRg8cQqqOhCdOHlxs602+KX1fDIxZqbQMFr4N4VzrncmABsf
DPm8bYuiq1htYYfT9dRXh26BiAsN2D9U7YJts05WcSohDxv6UqtDK0rIdFj4yYP8euPgqzj183Ci
tgSrGcEqArYm1RepnNw4+CpMR5kYmJ0qdaghadvxGs0RaiLRxtFXtXAEt52i8hI8eqKCG4hX6D3I
/GYbRUVWcQoHWtKhfUZl0NT1sGPuYh7uvbMgdduaIatQJVBMtSB3l8yytpt2Hh3CbNBk/rYpRf5q
I3my4IMK0jO4DGJnBZ1/mdQy2MPKyx62jU6e5xk15QOFzE1lc0I/BzV5Ixl9s23o1a5qpK1ba705
q0rvFunxkyXRRqxwbZacVFUbwfdszmpdglwvw8dewGpi04P/avh4MuOdkN6UxEplXjWjJamOriMy
+tsWe7CKU9DCepAG2mGIK79XNvhAwvYV6cELdUCwitK40vA/qj2bYVgJTTuRJd9ZSYttqXfd6AKF
pCoFm+YMHtb+RzYjD+xk5YJtlcavZqMn067GhvhN3qus7Sc4OproKxrH8o3TvgrSHE2u0QLhdhZa
iHXadsCji9eY15cmnj4PIvR4smrw2jmDMX5yE8siuEHX9vBh23JchSiZyQyvpArLsUTHPzypPsLI
d+MrXcWoY1DT5VA1ZlMIb6kgNp+aMd6GJ/8CGJ+8T6aZ0RXF2F4tH5mC3TyTN5umxF/tpL3Oczgg
FfPBz9Hm7NX5deVeNYN+4W36qwgNgmGInEe8A/fPGv7oUwx11rbU4q9C1CtRp08wwECzQfemPxtd
teW2TI52nWcVI4McmhoA+IfeQfOnyRULt+2g/moHHWwIk94BZzveFtdxb2BXnW+jWddarKqZTakU
Hnpo37kFjRfR+20rZBWSTVLDQUjgJaJX4Otkkjex49vylL+KRzUuwljN58zKOnh0diYZmo/lftuD
ryKSdjkc6apkzqQHKQHpxAmGwR+3jb2qbkVTyRAtjB4MDVDdej7/whKIgLcMjqsln68/LOxxbHxs
yWXFzS6UDJbNSbRsChzcw/t8dCgno5mFi3cY+cPU72Og2NseexWREEyPbCztnKkYYg6NlnC4yfLH
bYOvYlKD77IWHsFohhhOGm6G+5HW86aVAjXj8ylBH7WP1nsMHjfhPVXDtwqe3Rtn5Zwbn+RuGElY
f4yhEZ1aeh9ibKOWrWOvQjPQFZShaIfJHKH+tYqL+hIuDXzjrKyis5RsaVDPYqGEcLmCYeG7hpeb
CixcfPB8VuDyzbRIEPmG2rlOfZbDvJygAqo2pRZ0Zj7/gEG3DLenIIYKNnyB9/EHkA/vNi3FtVhr
odSfOMW8KFWEZwvUage31WhTHQFA6PmDT+USAY82eHBj7lXvX5pl3Bih8SpCobKH/UFJZRYLetNA
cHjAJd1k24yv9VVnBz6eqGXO/KF5w+BkUU/lpiIFLfKrOTl3MsJdQ2ZwECSphkFcGrD657bXuQpQ
C0ZBxu0soWbgnwppLqsofNg29Co+zTTnIobVRmaDRu+aPhphBFtvk2GwtbCqD+GBCUcruIwnvtt3
aDmKKHpZtz36KkBxKQ/ahwM9ZT20Ns0OHR3elbfArWPb8Kvw1B5FVmQKb3Sx3yUqOCPjr5uGXqup
Zmw85cB7mUHR/dYMw4XfttvW4VpIBW8VARdqNmVuOdvg64Lsvab7tu25V8FZOdgCTUbIDK2OqWD2
to1fKzvPcfLflAtb+2NoD3jwMkRTVsKQS+2miNc3Ix/MTtdE2XTb86+CNBQdDDD7cMqain5uSvbB
G8TjtqFXIWqgeGx4lE+I/wXNyXIKIO5n26g69Fo/zy5wtwirCX2MGVSvH9oF5tfMG95ve/L1HgrH
Q7QHlTILScU0LH6VhTNx3OD2pG0fsIpTVhboso5h4OWM96ZqyWM1bjuLs2gVo00VjjgwY+jcJm9m
HzfeUL6JhsK1c8+nvIlt3o6Lxf1QeUtwTweZ3wSFrjYpfeFb8nx0Ei1+uMClKct9B+vOacwo26hO
Y2sHhNbk3mzQeoVuVFhL+0t0HDU6eTe9zbUWaoZPk0IvJObF+lcL7v1oQrMths4mGc/qUF00cOgp
Jlz9VKCbytmrZELr+LbnXgVoglXiGyKmLOiXexqM15M/b3zuVXROFdgJrtGTLnn8Af3TbxoxbjrE
Mb4KztywVhRDPWX87F2UQIS+G3Hp37Z8yFeROVP4J9R9MoK3Kcd0IuINevrebZvvVWj6Ps5ZXYi7
MIqKtmiTBFBxUL7Ht03MWooEF0Oo0mqLuElsm8JuhL9tKt9te6NrKdICb60cWjtc5JFMJA0ku8VO
uo09Z2sZkvK6uA9Nj+XSwzJKINdaIWEfmsAob9Pcr/VG0ALDS9Tgtg/Yaego7QCe4Z4XNm7jEVi4
ClQrlIqnNh+yGManY7roof2J2xjg0Lvt+VexGsB/iOnEG3CHksVdUwWHKagsw22ngLXgCM6wJvYX
f8hUg55j2MhPKcXpd+OzryJ2bqDAg4nqkEkWFfCLc0R8QY8ybA+2zc0qZk018UkbzE1f1v0ODpfv
TBNs2/PCVcw2pNetFynMO1xbT1b68qibvjxtevK13mihcHcdcKtNVueh++DDGB2WM/Egtk3MWnBE
kSdDeNwMGe5pGuUxUjGuv0L/Kx83fsCq+gUZJ/puWDDzVOqLaYrflWOzDZtna8lRJFoYIMzTkEVs
foCH8Rst5odt876K1iK3mjZNAefsLvmMq/kCNPez17S155D8h7p9LTQaAZnHnmqHjE51/DkCqXBS
ol02LpnVzjr7nrEOnhAZIjXZcUhfdp71osO2iVmFKq75AkcPR8osXCyu6giGS5igvBJKv0rQf5qY
VZyiKxzyupj02cJFAduGtsPNb7DCMwK3NiaFOLWD1Q+qlc0FldTj2VyWaMJGi1s03gP/k9MDvIX4
SYCX7E+16BjusmgqgPGFGWNf7xyrxwme8LiBJcUFFZ340pelN6YchSXZByGw9kM0KKP2DdqMbQqb
itlcwFIprjMSmZJd5H2Nq/gCH2jCRzg71hbXHtUy2tPIYEzdwHbjWIxo8ke3HW6oObaEGLeXS0u7
zyaCg+z9zHCh3VeJO+/GLHYkWbIJNoC4Y2B24aH2YZ+VdhEJBK4Biwp1KoIetnw87tAXdrYneYAX
kt4thE8XQyUnl/l9Etujbhu4YiwTK+D+BCNWQNhNueCKl2aAcbW/JLh2IJ4qGO23fTUFV7hppE4u
GhrMLIOrc6HTEJajF8557e3ULbjLh8EOEzcR5rhJ7qEJ6j7aVoWwVcJsDVO4GIf2GcdFD0B9YGNS
0GRbvlkrvSjLLQrJZshK3v7ImcAFf9W2517rvHBPCewKCZ47VHkmk+YyD4Nt4CBdZclwgTIlAIKU
kQT+J7mXwAm9wZWhm0J2rfKa4JzCBUi7rCB1ffZ9+snraVvRR1d5skZ769JFfp8pq+Dxo0116unc
bktldFXTlLzyVYebRTLcMMSuGepXKP/V/GnbvKwSJW5pWZZlWPpMxIV6P8WjA5jfwTp/2/CrTDl2
1Yw2kf/H2bntSmpzXfuKkACDwadAVa1a+96t3pygdKeDwTYYMBj76v9RkX4pzZe8LXGajliU8WbO
6THHw4YLQ1G5SOPukfvmWKcZeCG/pn0hljB4QRq+Q4OuVTWEtrtswNYczHL2Mq+obyMfEMxI2qh0
O8VzD7v8LEjFWB0anb3Uy6jR1gE3wwUXVX9ZndynwXysoyP5G4H9j7sZvdhpHV02XHjIoCMzc7aB
Ksy6+FhpOd4t1zUdYem+xBqAW+aBjx9Ggjv2PIbT0LHBob9+Xat7GYUb0GskjJJiyYAXBQ3uYICw
13vpzNadb3CE444GxidLdIPh2PBy7N13axZ0TjenbT+gq1bKe0rW1ACEMtFj+v5kr/aau76BkGnA
Ntwv2T3vSfgNOa07VgqOd4s229To1Yx4FaWsDUgnILey0GQHJ/1u1cYggbH2djp1rWrK2Y4wFjfw
gjo28ruDFcZ927IhT76AjUV+cqjNf3q1qGPKz2Qv+kpj0ne8E/oCc/g1uAqAKMqwtjb9zd3hf/TV
JXvhF3pb65rKvL94GZHpoxbtOpR11sf65sUYfETD2XMQwIi8QhQnGOyXkIyeeZCmw7Gvv9eHoSmY
hkuH+NO6kedloDoYUChgq+WxNHovEKMh8chZbjtTbaL6QbUN+s7c6ADYODQH9hIxHy4T2mtj+MeT
qIWls+1ANegEUObHJtnfvsn/2Fvp7NXUA992cUsM2bJfPkO9/+PYy+8OZGmUM2zx/UVP/VyCewVL
yfToi+9WdjN62EaKTF0Q255lLO7jeP5N3nLb2v4lbfm7hfIfY6KCILwBhNDqkqygXgUJrhqsf39s
UHar2nA5NTfXsku9TPlp4SC8qLQ9eFTudWI2a+G+jy96aact+K46S35MAY6bQ+++F4rNXQK/+D4C
PlsBmLoCWDY2v/Fy+Y8x3+vEmg33jHQa+gsc1uCcfmMlNbDbPHaI7aViVtAWxHeigGHIhwaGXzn4
59kCQsOxgdmFzQkDZ5z2obrA7LYrR5bfiSRyx5boXjI2AUzb1KztLyzh9nGeFJgzplvf/e9Xv73i
v0z2cLdImRVutRHOd+mTESF/ODfsJEPgsE8UWV1/LMbaa8hyR2tg0RswehcCf0yemu62tEI2HDuL
w91ZrALQn0GyxdxM4w+LCd83UX1w2u+WLJwsTA74/ICW3zSFGTJK+X6J+kOfl+xlZD0mYyCgCjxF
2VS/X12gP/Q8PdbNBFetX0NP2QJfF8azvO3B+TsYaKcXwIPzQ4NO9pZvGtUFcNB7ictwVCWGMX8X
JGB8/e+Z+e9bAuzaf331xZkeFAiYpgoKC6cSzYfjVxg1D+vB5+8WLQxp6lqbSV78lH1H7ehJZfzz
sVe//aR/nCAJMB6Y4UqiaRXOvcU4L+tPS8Zj1huE7dZsi/QN9NjbsOu8RsFxzq+Kgu147OXjX19+
iLtl8xNeHhhVlJ0icEVgqXLshIIl+q9PZyBYunRG/S2yJnIVjBC3HpjNvlsPFV/gevHrH8hXuIgj
spUXuL66Km/C8HVAP9/7Q4OzV5U52qLCZQELbqJmG+67MAqf41iny2/e/u9Ky//dj8leWEYTEm8U
GM5LcPNFfRmjqF/uWrGO0xmJ2BKf4aUHl+AxldvwCMPQ3D+CyjSqr3FEkvNCYw+OUeBSmHzXC9wV
XCDEi+pTcLbUOLq29A2v/fehdu1y7jXOXIDcu+0HUUnysOrO3LsW7B9SLzf/f3hg8CJUbeI/8gj9
Le/EzafiYw+OF7A1C7z58a+TLXkI5edzp3ngK/zfIN+SuB7WH8cGfZegQ9cIa2I0JINrHHXPKxPs
MW7j5tgBS/aSuCEQ6YDqKLzwt/Anjcd38PF/Pfbmuz0GuaZTAbXiQjx0thLszHiYf2ekcdsI/22q
7HaZZQlgfz5v4jJqeHVcp9lLWzGQZ6YKFtWsuVJGJT9UXYNf36/LKhpZSpM1FRdgC+kpEVaevZbN
p2PjtNtz4Au7IEck4rIOAHgFtf9suvh343Qb7H8bp92WE4VNu4hpERcql/YDVNXJS86b7Y+ti4Lf
VDb/60/sNp2wZkBbaDCG5w2+/aC5jdPYwkUZxfZra9HR9puk+j8++V41B3lCA56ObE5Na4Q4L+kW
QR0WyFOrPLiuUHQfqyqBsvLr9244aic1eGYX2scBhG70MzaigwdYtlvQAQxHUAjoxSXCdZwh9mxI
9JsN+j++xF5EB0SHyD16cCvRwA79yuScnoec4d6fNqsMD6kL/gbM/POAT/Fs2rZZAJsOGAmi1735
Al7vsdZWku0W9uzY2LZu6m6YW3OG5jovah4dS1YAUfv1y8IGHKn4EvFLm+QJwGROVTlrD+VxJNst
5JDqSMpM1lW0tvdhTYpkoAfHfLeMHQnlPBg82vvkVLMRkI34UH5I9ho6B9e1dmY33HMbP2Rp8DDS
Y1U8stfQQVZ4M8IFSkED5n3fzbO5BCn5cGjb3Evo6hQoekeAkQX9YT5pPSWFYzI5H3v6bpWGTEx1
GgbtJWtn/QDV6+exccfMYcleQ9eASBms8dJepIvleWGmvwtHeUyKSvYyusBtuE9RU3tpOxBGNM8f
g2yaT8fGZbc8ty4cl5kMrDIqabdzHNtPGlCdY0VFQnfrE37/ZpRJz6p+HZ+FHC7dNBw7xPdSOsfB
clcNAilgzlsAuvuw9DL9zc57+/n/cszulXQr1PkeHX5YRPM6gK4+lZrCUfjYmO8OWA+TnnkF3xFd
S8qVgCUNY1FPPTsmSIMh9a+bIlMOPRciZWi0Gnxc5LKeHoZNgCV06P33arqF9nWfjYRVynrc2b6D
CuA3I7ND3P1/Zzey19Il1Ecwp2r4JXKgKj+EQEaiwaiBcehHOCUNlxaAZVJk46rSE0V1zZZAqaQr
7Dg1dYB8snA8eeBG4z9Ulsbrpc5Jmx2qwJO9Cm8Lxgi+G+aWLk2mubbgtS0nPou5r46N6y0M+Eem
3bctCAIRz6pt4hQblOvAU+ApjciPY39gt9gBOFo8oI/LaQF+9aTyxIIUkByqNJO9DA8hWwqshVpO
0c33y4J6AzB3dkhfTW6ku38Ojc5WUBqBkj6tIIQWck7GYpDxMY0fSXenccIXdMMv/XKKu0iXRACb
jIrE92ODvlvtN7gJAH61Oa3glQBrBH7KuCXhsXNtL8JroDUNk4CY0wBlDfA0U/MsM2LeDr37XoMH
RJEmER3NKWC49UgEAEetS48NzN7zq51sNOAi1pzgURm/9qC8fgfaJjsWBu0FeD7lFtDpdQbdnEqw
FhY4wiT1MdcTgHZ+nY+SGeJJns6nNtumM/gc8BcPxLE7drIX4QG7RrwUBog3qzgUV+Yj2qu33+yx
/3G07c2+FjvCMitzIIhkkS9EKKYS/LmPxybMbp2mYqEBGTHqXsGuxRr3VzjxY72EZO/0BdiHGmtJ
lhOYbVPFLOcl9uNjl/dkr/3yaIOoW+CPIbKLv8+KfFAcqKtDw7KXfnGFkvKggRNpwyksNh3XgJZB
Rve/n/4faeJe/SUjMcZiIPmZ1jJdX/miWnV2NJbTOZk0TsH//Wf+Y+LslWD1Suok6vAj0jgPqjVO
m7LflmNKMLJXgmleg+5O8fSm6dsKkC7IPwb357FX3y1X0WE7gJ5xOoHz48pWjV01q/rYwbdXgjGd
hEaBuHhaxQJaIs/jAgbG/tjJR3YRtFNIN/xkp5PhXp6jWXzyUZce/KS75eoB0PIDaj0nnXOwqOXW
lZCkHpP941b/102yz1xmsrzWp0AFU9mB1VMQ7Y45N6ED+ten1wk4b1FH9ak1Iy99qgCvhk1+dWjG
7DVgS+RQcp6a/Nx1vf/oAYh668L+d771/7GU9iqwmlgbLRArn9IpQj/KLeDQcfS7GuF/PX2X64Jw
g3I1MGLnJEDpfA1+DLL/eGxYbrW8f4SoIoqjGvyM7AyfL9BoVw91ouHb/OXY43frNJIDGXw4sXOq
VQ8BbgdE4SONZJ8fW6t7uy895wuieM3ObI6A0YrvZXgwEtuLv2DENRpw69lZJTj+bnoIMFWPDctu
mQIG0dY8G9nZ36yPhI2SMuG5PXY47enOXSi58W5IKrhw3fWTfg3pMTdBsnf6ClOIiohSSUUhf+j6
4DHp23eHxuT/SL5gI8Qn0idVTBcVXRIt0XfNrVo+HXv+rmbc6xspdBmyM7jOGyzUkzm5v7Xq/c5P
8LYY/6XCsNdztQHonrmt6VnpYL4z9bqq5zkLm+aEPtWsvjbKW/5kwO/8fXL9d6r6b390t3wzF9f9
2o0Saetm+62MAIOM9UkIrDp55vUmZDEOCriaoicjzvatc6DdXQepKVdnJNadAOvQi9VdQYsEcJUQ
C9ldH0LSKgrSOW9tgSBHj4+CRrl+WufaRvS6BaBRi2LysgGfGjzzljTFZDKNQGig+HRFysah+UNP
4BtHRSKyVl2JF7B7rhwS+gwA0XG1Uykc6bYPsJADArJIBRA/sPl2QPmCeMqWgCYFc7CGF3eRFhTW
9wo1SwPAaTvJBS84Z0P/SccKiUyXdflfSiv852kZk7WikPsCMIkREuW62ri9eLeAeo4Ymcz9HwOK
ttlSbFMURrZIc9rwrz2wi+yHahaAftDI6YdJFXD76tyXm0jvTnsFYmcP06i5tLYFa7rK0DhZnzyu
bOJTENdgfdbgPXesBB7WpaqKV5+GD1G+UtBR08Ur9IWNg7sDJaAvM6pX+tSFS5tXYUssATiUjojC
chB5cwUD3GIbGzr20G92A28qw5DvZyUqJFsz4M3GfsqKPKYZ+kbW9lInGcJG7CVULff4WgMHDjxH
ZAciZiBVtag+/jYaBTyq81v2Y2m9I2c9Dal49lOc0zc+xln2TExNyKOveb40lfToUUnOzC4RHBE8
zRb5hA6NHN9Lt63GyzWhZ81yDuFqjGhMAY0s7hwlm/0+5qodmnJYUQy+ZuhAYh+jLYMZYSn7BCSx
Jg9uNpBykb0N0MXiIdqCg04GQN/J4VsOwxUEQubjKxV9zgtBBTuD+diXA92smlBNccG83iLLdX4I
was/2Ql71DMdmqX7uG1xA6jvtAzxcu5IOm/l0PAkhkssd7JCXsPzr7kh/fDANo/Ej6fhsk2F1QbF
/ILlaRYjgjKGEAJqIyHdu0jkE7ioWS22hz62EaraoYG3msc1s1kb9G6FbqbAfnIKk7VQLt9jGaBn
ZlqzRH/IUhXlFa/ntPuO3CeXWDQqGdZq7tJhfhZL2NCPkGeN6ty5DG1CbAiH9N6nQSweI26F/7Pt
5bCgY2YKhuR5xKLlp15zF1+1irrxMw9UHsbY3kRD0yJTCdPPoTEi+p50dZ078H2Zai7Wrmt6H05t
MnzpLHVpCc/7EN3ojSURg7VzSuWPGuxLsIPFKPLvKaGj/ozucs9L3C7h7EKfx+CeoOoDSHUEiTb5
MXTT6q8q1s59FD6MolJzrKQfXYJpfteI2D8bFjZncCzz7iWfloyewrzV/P0o+OZfLRo8gOqVMXwD
8urmREyvszV9/5fAzQ1/6OhI3GUAOLO+jDGLpodlBDG07BKSxF9zGifsz8iK+hkt5ME9rpH8D7S2
qKKzaVM1MAgKqq31ub0HQ2L1dzAPIl8kaxNWaYlOx3eZ47J/jhowtq+Aei/uFIy82+6Ym0J6yegm
ws8hrUX9no+s0SVA3QE8EbuQzWiiURQgv9XPYPjOoTfhlWiq5SeAO+rhZQGSkp9DwLKzygCqjb3T
pvnEz9BPR9PTyFb6A3xvTOwaJUP7wrdwwlbCh82eaDqYqalC3FatD6KDwfG5bhagbbcgW5uPPJ+B
DgeaV4NXWwcT/c45A3u+6WdhuiLvozoE6Cgh23WWajaVsXEYVGbu46jopbf6KzEMb1ClYRPBznDD
W7RBM09FtwVzf+pvljwFDO28eB4tGtNOqZ7stzh0APwGSO/gywkUBH1CuNT8BCEd5sWd5LEqqbLp
8NmN4DPC4EgpWJ4VRHjfXq1Bl+xHBz7dVBd8NNmG/d5rOwwFQPQLmKioeK/zD7usJH0DgmPCgSDg
VsPeSzzl9iG1WaYTII646Tz1NlZpgd7PHghgFjFAYteGSFc0kcn9g93mBlWLDRgrcHdrhxgRnWyc
X2dQ1oLCT20bfKBg68YVT+gSVHO4RqzKnPegwYaedHer8ZZdFjUEAI/buHaPBLCc1zCau/YDKkex
E0UrpWFnuMY35p4JZDDPDiWxHCzsFuedqet0hM47AchWNWEnysFPkSkT4JwD9C1Mc91adM/5OXpv
QqHQjNEnxry2W5jFdwOujLvnAU537VisLgFAB77iwJBPLLpGhM3mJZ3HoP8jbrdcPlJJZsyxnivJ
/yQy95gJCpZt82lo8nY945dt3SlVIpk/UbHy+n5u2o5c0URL5dMyxQB8nbAdSVqBy0Tqnx5WyfA0
n0Gsv5uHtmmgbUYHFuYIoLLdPe+M03e6UwSa4Rga4vA0a1APi9W4Pv6Av5m/rRE32zcJ03j0pLOY
D0k5wn6xKQPsT3W51Xr70MXUkLucafS6pH0PsapapzwonV4MkHLTYDc0kKxZVOJCIeeveN00fdms
a9o7QN4T3By1tQiWj0r5ob+HdJd7REW9337g1Jh7AY/UMIze3W5qSFgSPmb+yYNVrWbsxN7V17zD
p4fRLAXd7NFiQx5fQL+Yp2toODN3m6EsvZ3cG4cnQINhnOfCMKzyEH51jV/AhG6tc+8I2yQrQE3L
6TlLFPa3QhDbTS+hifLxDz/NGuBradYNcNmEhNtzgtnPv3TzBgQNfiQZ6heBcph9nwsM4r2Pu2mr
erKk5g7nfwAU8GpitZ6szzLbIHgyg8fHnJr1vFoRqE9Z5Ix6XTFm6/3YQRYKoHrL2zLp+DB/2XQW
p19VnLlcFXAIC3uNkSKy+bOHZ2r4Ctf6hP0xwHlFfBvlKGLkVzBEJKXq4i67U5mZHeI3HuaAIY/B
4nAUyg3HB6I9WMbSIF2zaoZJw+Cg0cuC73CVd0kZ4lDvrn4Zxcdswfw+idBKWrYAtI+lyvrkcxpD
F1ESl9ddiVw0yUBEHLLlEssspWtBtlCNz5qPHC3HEew7z5p1cngiSttAgkaebX90w2i2cxq1yfoS
9eEE/13cs7KPSd5boLMlSDmvY8zJl3wG5aWakxqlAFDJDX12va6zczh1Nn7B/RPp30uRzf4h6vpx
wIaZYG1AFg+hWn4RMFGdnmolmd7KPEmaVwflSwCKc6vW97O3Ixqi0fca2xI2hrUoMxa1+kXMqDGB
gN3I8UQc+mrlGS1q0SmvSd9XU1jH+BItl9FTsugbyZXOt+Anh7SSg0ufr2lcgQwfRksh/OY+d7mE
axKI7eha/KjR3EbempkOj1O/IOIqedMFZdTBFc6V2N3XIrOUmM/xAtuDu4ZajfM+20KE6QQNvNoU
jiSBubZ4hfDdMvQmAy2bjpVwfOkvYsNS/5qGk13PcSZkBDLJBMuzKGlJXhEJeXAxk8ifGQ4ja4op
rbv5eYF0ivWloiqTj2Ku3UvubgBUP3nyMOe5CE85CDYbjlGEHNXkE2z7Vq5BcxW0T83HRdbR+r6f
lqjEHckYf3OytmtZW57cIVwDNVOgi2ZApb2Yto7fcaNhrJGgrxqHLSm9N0wXA2BItDJTGN81iAc+
W5WRhwZWSqqgrBvnkkcxbeDZqmMQ0pOO3ue2cX8m6P7pngBdh4Lbd7NnT2MQT6+hhcUrUiBiHkFx
jz1iJ6DKX9dAQ7ZrtqykaCN/wn0OmrUBLyVwI0cb8pOb8vjTYIPmJOKOikKpzTysQrKXxsJBvxKY
xmW6LbaMed3eJUnCHhfauPsm2uQ316zdB0bkVLYhfSfTSX1KO9azogn1DNnJIoUYiy1smZ2LBtGu
Ozug6twdXePmjUabvjedy1mF6UxL5Re/nfupS+8d5IvJJxvk2YdGWqgWqtj0WXBXq2y1sqgxc3O0
yTse/tma2plPaUqpK9ZWbTmknNFqXdXe/ACu0m0etin5FDkNsu44ziDXby0ZuqqhaxTcr1GCbmy0
ldrwfuJRzZ7nYJvNeUWff/jmqYxpyVyymocl0WnzDZGrGk+piYP4Tre6TR67bQWde2n6VRY20lP+
Rhapw5eRLESfYNPgelgSzJRfh2Bl8mvAwRLuytS1aVuFc8dNsaQtQlFmlqwtJ4kYxRY1CQiRhUvd
0v7Y8pSMj+s2rP47oFQW4RA3eYrZLbG2Ul10aBjqTnDRqePLlMu2e7dFyP1PQ58QdTYZ9p0KGU2T
Xceb/A6wexWTFzTVdOkD9LMkqiK2pewaoW1q+6uFGFu9LLPJdVg61qz8fh5nYMQLGIrkuB71XSzd
O6TGWYwsGJJN/zDPcsa+wPvMRk9aYUl+EEhW7VeRCnZNwNtGgqxs9jWaiQi+KVywIk3ehhTERRSh
eYnZgWCpqJcVu/s8LVu1qmbKP1P09Ju33GJv/zLPI4u7Ks3GAOdV3afB+oFa321NEcRxRgpj6kmV
rCYyfp59vrm/ErT7yz+nFt1sp7wDtvC9k3xjMBxIh+kVjOdUbKd+hbvrhbVBPLxSrDLsiCGZxhzb
E98yFAt5j7bmu46E3N4RwUWoqsRPCAEKSSltYAM/IP9AxNeNpVv1LRYBxsXYd52ZpsZemGjE9Cbn
YFjPQxcYdp1ntqT4Yp7ZqRpjua3fBEvRi0S5YPM3Y8W4nnUTqqBkYoke2rGpaTniItw8uq5LGnyS
rEUz4IwqeznpdURQOlLYybwtHi65aJAe68ehiceLrbf8/UhiZxAdpN7rFyelLCawQQs0hTULAV8s
74azs3nqygY41eXqyYwEjbMlK2Zjh0AXZjF2fpdFNuN/rUCb5CcvwpBX1N7O1aKZwZi4qxFmP7aw
5sKsI5Ei93UHPuuDbtzwmeUYhIoYk0SyCFtIHt5m6bsAUaoLg8vmMa8viAOi7N7gCOj+sJa0F6QA
Efs6wOI842XKmrB9r9eUc1hCR4q2S4FJlpIyx67qkM0FaJzzGY/a57yzoS8nLPhPIkrVSdYt7bHU
6uV+CFHBeEK9gqSveb9RcW/XiX1HJeYLQg8TUyBVKCTgAxgx8fs+bupv8LPo2qpR2BTbbhJPxoSI
zDwMRuxVZjkvtXcAjqCtI7xrs4nIp9GQWT5N9TI/LFoP3R8ARJufwSjmudqWAJ8x2bI3sSS3yx2R
42zfEvtGEUuYqvEjYnXomsxWSJupM5qVGS06bRvEBriqXAG7yzfUa7ETzqjvmO7ZossEBMb8VulB
4/f0JhCMFXEKBfoVpXQ2P5IxH4NXkkHEB1FQ1jfrdaVNYyQ+yuLCGR3dddeetpDkXXbqctq+a0aw
4U8RulfGv7Y1FmsZcFSuvsGrATTcKc3n5NTz2MWYmm38YWqRj1xc381F3GED1cW6TKDYNfHCf+Sp
muM3Yhe+lk7NEbKdLJHrVnRrLoOvbRvV3/NbaHKXb+gy/+So/mmENAnCXTZGCGZVIpY7BiZIXjI6
qZ9DiiVb5EB2lMCChMlJsiT/u/gniMcguPwEf8s6QSoDqPp5izObfdFNwNB/3LIalcGAKTgjzRoW
BRWCEmXvUzoMP6TcSIR9LuFd/wanNtaV8cQtuetM4v5E6tz4h0nG9U/FpWcp+N9ujR8Vt8n4KahD
mv6MgMxI/0RqyVEZ6Zr0kQ2TwN4RclfGTTTa14nVmUZfB+6WkoY24WsbUIpqNkKP8CG1MBQ9s3Wi
cbUZH5LTStd5LaRatg/wRI6Sz3pi67sgSObPeZ1Fn6D9MP4y1GgCugsGJMabVNt6okkOQ1/frfoz
xlw89JGArI12AHDD4yQZrgNnbCxT3Stb6KAWX9CpuxVjiuYtrRNLH6ZNB68ZtdsTZZ7n56GG9cJJ
pm67jMBKXCItw2sCJjP2vJ7Mb5w1qXvRzYDu4XWF30+RjkttPtgFFq/fYCCC5Gx2NuFfUBomWUFX
h3GIbddhW2AkIgMijgz9x3loPvGNIkgkKCU0DaKMLg1gD5v5oJogg09Pad6gbmKBVwenJJt8e4l1
qN9gv96J93E+oAl8A4HhfYsXKUi7RnopsW07Y4sJtTHyogXPkpJovM6nYajtcO7GuuNlnGTafr9p
Xa9DL5V62LLMS/wNEczvRZRY+UKazCJgcy0557kOhjtIKDP7DqXo/oRtou/PU5p2cxXzVUaQywEM
expsiE0E/hj3+BYoR9Q6HTTSbQvR8uqceT8HvFvLPl0ieR8Eq/IX2I/5P4MU2KRCAg350Phhw/Kp
cwyHsOFJsGQpx9HYezJECDh52z84zdP3UC+P6BCAvyPqHDBqIElWfwk85OTnHB0y7hPqTNuKg2gO
oz9NPjVxBgaO8CgPzHLR/bXHDUX7jftxViW+FBrec8ERmWPHlKsq+Vhr+JfDvIg9wSItz0pmqV6u
25CM+SUDAxxo1HqleVsEKWwPz5aR2yIMurVpQFcckTFh8xFV52dmrwZNGayIh81ILGPcd/1ccHbW
Vz2ZsKlWOGqHUGKqOInehgQRWrVaNvEyS1aKXh9DnXhrKWxqqhB+8+0XiYJGUqh+4fxTuHnsHk0Q
0OieZpFKS8ViGVcDqmFrOfQrSlsFmqC2purQXBi+JHqc8ncAgrRr4eACrU+Lq9OhcLFPEMEwHZkf
wQSqQpGi1YO9A8tmzS7caZv9oPhR9vOMAJU+pnMkszKRmYhfZWNDmCZrJAW8nZV679DAL85xN4fK
FSma7VcUMHnvGyTqBiUHTOoNQSEY7fUIsDab6yc+hK2/Rkm49U9Mo05bUE0s/NI1n36GKWn5c+zr
HrqkOhT93ZKvQfyKvsmMYk1NxFvc//ROn8FvtNMZSjetStyqpMv33qo5ACDRm/waSJRTvoRS3b4Q
ReJTRRPTHZpRkYCp5wX1Q1Giv8LMSwEvlih+CGmcIrlMTdDftdBZrN9t7Nhc1ZTW5mKxX9tqSrUW
J0lIPlYxiDRGFOOkHD8jG5TsoU5gvwbxpbzhwUBLG6qOt2y7r02Y5SX6RBqWVnBiCLGg2lrhPhtX
oUNzT9eNeMQsRid3KBIMuK0fEdsVqMNGokDDqO+qEdNAnpNticafWZsKGSB3iBJDwLuFiclfWiiJ
fi6BGzKDw1QhTkzKQE7sQmMdu+0qopzkb/CMVubRIrXfNH54m3QJYpCNDC9p1srtc4Bfw4KCR4YM
y/nmZo2EdM39mjwvtwz6oQ4GsSH4gl4WBlOubpoXp6IZycq0EIoFngjUrLISdy0pstVwVqz/0Tpk
19D2uUyFPyezBiOCgSxFwjQY9DauoNUM0/3MhiV/SbF5NAgV887/KThuI751nR3EOWmSPrAYXU16
sJjp1L5LEO5jLccsS9KzRmg0/uQ6SW1emIjBrdlmyZJ/jFCfa4F/Qf3ffGdTsog3HSxD8Do0uPB5
t94SVTgWuFzGZbaO8DVG25ye5JUr3HthkiSanKcMiQ89gaO4jA/oAGzS/8femTXHbWTb+q90+Lmh
kxgyAdw47gcAVaziPImU9IKgSArzjMT06+9Xsnuwbrt9u+O+3IgTdoQlk1UsVgGZO9f+1tpzuNFD
ajjpZr2buZGQavQu5pZO0iXVtacuKYuc4aEu86I/dxN7bo6GZjD7F1uIWITqVLPtdVMZOihdazYu
G0E61Z2hB52xxhFDH/pUxvVu1ZXXX2fDiNGlksKdHrcSpDH0xECTJ7PLmoiZPjHGV08NbfxozwOL
f818g3zazo2N8d2UrOQalse5TeyVeooR16HpLqM+rE3t24celX0+Kwu1iSdURSnPs4JOYNiKCgBg
h59Y9F7EtbmhbZ0UNWPf9ZalQ1tVuRFwz12pdlgdeo2SeIy9MEGru31mmPR7VE2LZw1KRqx5wdot
rYz61JXOYVy0vx1aZzFETaSbNWsfTS9hVlqjfTO/lGY/DE9yIFX93U0cXV1S2GbuvpSp9h/mmdZM
VCZenuBOBEi7zeq6VBdxUtbFw+zxxlysllcM50IzUudq4rVaTDRfN3mba7dKzpe894uPHPSyeAqF
plruorzxKmRrh4y2TISam7k1QrI/1NpG9AFdz98X4ICnCGP3MwmGYjBD3ycAs9pVtIIGfaQA63lj
Rzdv+1v26RrhGRiHVhq1m78+2LztmKt8mRbbR7on8bKfuJP3/ra5lxyilXFhGbFPYacE6XXWqY3n
WWciV6o9K3K3k5db2eC8Nq21GT/PmfYJrSg00SH7MWmXNQ3MWUmXHqcFdCW6wZtChbAxfKkmIutv
G2IXBmt/ino10TQWyXB3r9/8KQ/9ap6LaK3600S5cVDXso+d+ujg5J0PXd1qO0qmta0vrYGcGiRS
Qb+1WXtX7zNEfDMwBtM09vQoxywqvcTn2Nl2Q0uFZFeZ/bK4TJG/iLckX+6JZHBGtPc07rc3u5Z2
8rUtGlEehY3V8ShQfbsrUgP68bEkkprappbOcmk6xrB+WzuZt5frmhgDAt9ieeHmU44E6Mua3ko2
DMB+3ehcaVENcziuDA499ryEPNKbZRUhbLyiZ+44J7x28vY+ZPN1OTEZ+KOYi2S46sfNrM9dxt5t
p0/bjfE6+OPKZPjBdfKvyHyGHeXSM9qBsFbOM+FQc7VXOyrrgg2ShfR0zJ/7dr7xjX6yw9UwzJ6b
xet67BKtPL2DfotcRSXRS/9mcKfSIG4gc7M3fdof31xNfAJecpkcu8ZfzUCw3pUPdt9bI/deIqtu
DFpvwFWNxMSgKDcVmYhsSxrgNXbSxddW6o7znmWULMSprLPpfcyXdrlsNreSz/2ilcPhpcv1+bq6
2/LsuVU73ZwyHO3DUOk4qAi76QKq0eQklrfLxJ5LA/PWW1ffPR9SnAbXNEoqDO/UxhvSVlegWkkG
VzpyfMG42nkBxiJr3i2qLVDt+i69B5MwqYgmhjLf55CN7IvM2CC70Z+82H9yW+FDmteCftZ0Vsd9
14xBht/PCRoPjsAO6X33+h0hKUG8RbAR4wtqxZYZgRopX/NAssqOaIhlg9sjIKSec+d+wR7KcKB6
cVT6GYf1qvtAzwyx6c6qaZRZHs4d+eHUoUIt0ox6OwXliP489CPxvIb0zuhU2WMoIIKGwPDGLg4J
SrY/2jzauJjmNGmPfnrSfhOO30t7WjOd+Kaxhn6HWrBpIGsjNo5/jvUilnVwygNB3csSCZU3OtjW
VN7QsKp1pGLM3/8ZwfRjspBanbpq6qHcCf9T7jyq6T+D638MFJKlPdGu4Xnt7N5DtMjkf2ihMX+g
OhvSGv04c90926RARPIncTWwWg9/4OH9ncAqWga/BfWQwqwRIo3OhMH916VNNl5Us9GQgTj0LYKT
NeWMBXD9zrpdBqRbDli5IcLGWPic/jVCdaKK/hlt9AP/mdCiWTKjd/cN00zLKMPUcgU82IXUa7Qf
6cV5f5A08Hsw1Q8saN8NXGowxXsCATr3YVybWEdtQp0bzexMpJMS/1BSlS5r/Qfv8O9Alj+mE+Xw
Yewmltwrj5kcI7Ezuw6t+Q9+od979h/os5aJfoOb+hJypPpa9ObT7LXxH+Div/fcP+ChlOld1Sax
3K+M/QjSfj1murT/wyf/gTAbTXOsG63kHg16RyM1C2IT5fFfX1C/98p/wEPjZcpG6WdqnwhjYE+f
4sBM2f3/s2c//dR/YFutorWhg3hfrK0im3f0mTK5NQ//+sl/5wr9MZpI9WY1t0vO5ZK6vvU2oCnN
oVCrxVwhz6raoNXQ2AdMTrL9j8bz2T/GFKVeMrtktsg941Dls9P1w3VuIq/+61/o++L6T+7uH0OK
3Hy1kYUSZ195fooC7dfrTHOFf95Xc1RPDpU3/6d2zFqdZW3+mG/Zo8mVJg/xkOmUs0qS7pjO+LZM
NqObg9GlJPvl1f3X6/K/kvfm9pfXMfzlv/n7a9Ny2E/S8Ye//uWxqfj3v0+P+dv3/PYRfzl7b65f
qvfhx2/6zWN43l9/bvQyvvzmLzvq8nG90+/9ev8+6HL8/vy8wtN3/t9+8U/v35/lcW3ff/7p5a3K
6ohDT5+9jj/9+qXj288/QRfSJjm5U/7rH3/Ir99x+i1+/il6L9Psnz/o/WUYf/7JdT/Yti9NqTxq
+9N/f/rT/P79K+oDAAbJTa7pW8wQ81i0ayafpj//ZHkfkCFsEBnTR79AL/jpT0Ojf/2SIyweJZRt
mjyj9dNfX9xvPqO/f2Z/qnV122T1OPz80/fhd3+/pPjlPMu1fMcxFc4qGiE/LOdZLYHTfNoiWY+S
DbTS0dCdkvlTOo3TDaDgozZ64762R0piGt7tBYALRAN8akFJmpefq6KfXqiqsmNc+AwEL5Wkp+vr
AElh3GcAY3eLEss9T59S/M3tbYLI+84Z5OusB3jHzWcIXY7ypRqnuW39OX7sLPqjnAWHZ7txqpfG
IxjbQFQOhrgobtdG3hdNOV0QEAlqZav5yc6V2Il8i4OEJk3kA1w8NI3/CXnNCc0ZIrMuumWnDGM+
EzUc4WJZWTQMLUXb2j2Iyk5PoG6Da2L079vFKCKtx+7BqYjQHhJq8WRmBLnXj/IAxdKd0e+Yn9lc
QW6suPyGel5fTnaSfvVU1SFPDONXXXvDY66titT+GDrCUfh4ncl2syivFsOkPxWbX4ocCZwZ55rj
ledfzibETEhkeMMpgH7HFyaAZETA+NLJAtBZ8bkxXT8QcTsDkGGPbYJ+kldyZPBGsLqF9+QZ5XCR
dmZFneFt7YSluiGU5/tF/v/6Zr/KXoFEm2/jj3f7bxaI/5+WBOX4bFa/vx5cvPcv5ctvFoRfHvL3
1cA3Pd83hed5qKsYxn9dDRxueXKbhDLJUHW+Z4P8uhqY1gdXeHysTK9CnIRm/dtq4H2wHClMns/i
uVyLPIR/YzWw1Ol2/8flwPV9xRolLCG4HG31w8YMTGHMRWEWu5OLVhGwOwcaaDwLU5anyzoHboiF
ti6UvTUH7prx2FR9gR2o8turtDDGZ2d2RErfLc0/KVhEGQpRN0cQEVAk3ys8lwp5rPcJUsENZx/q
0kkphkP1smtenU3qi4FSuT/XQuk+1LCe0z5heBps1JaqYjcauNZBxdp8iXKWzgiODi6qlfT5vImw
wMiz834OxtJOu2CdlqW+mI3C/SjoExe72oTxk5uIL7ah6/W5lwr13G2z9Ywz1nukazvfNNvYphhu
Bk6AtUiAIjxFY7VIB9QNsnvPieXfrocarD8oDZGNweTUznRu9XEqoJzj3jhXnNkfRD1ruS8KP4No
XrdOBUVi+kz0QXqrIweyNr5JXSr2nSRCFXK6chTT+Lq5nG/UVLnDpaUcNFgrdvoybJvCcYMUjZV2
p5v0Iszyqv0G99lcWpogw50g/eWyWRF8D0062E6owDtTUkjz9WHerMoO4gJWZj+OSzmGJJPnfsSw
GIR4NIjitTDAa44rhQNOgIEIklMnzvsksiG/KdCRDnwyzqMAwzuscbxex83q31qEknKgZo7wsqN3
0ny0bBvUb2OJi4kN74vztuesHDpTvzyJtnDvik6oVwGaku200rIKaOLx1niJtzFYNlflTsvBeu50
pp+9hJYCk1QcSGZPVEKHjut2F3ml6wcnPWkWORQLvbnRNOajs4wspnGFvpB6/IRIjmKqdlrb9n0O
zH0ggCe7GypnbIIJQ9urKVJIJ3C1FXLft+brvJzSCx8+NUroMb87dTokQbzJPgnjyV94C+INfmMy
8jXqZGbFEbHcJt9nqi+dq20dVFQBRcimVi1Atk7r7GdhbfKwLga7E/hKLCKUkm2KIOnR/Uhg6MEr
1HA+eNtSRE7LiCOUnTaTgWh7/U2Z24L1ZpN1TI+rtf2waot5Ciyv0/vYdLx8L4D/7irk4gDAu5j3
xcIvFsypzyi9lQ5HRsd57C+7UhVvOqMnf/QqDqBko+k+UmXe1AoxIfUgnkjtf/B9TA8DU2DQPoB5
YHuCwenzp3bzcbzDmta6n10UeeW3FxDjPpejOpQrAeUHMYj8CfpenDn1uu1cIuAu0TLRT1NExW6x
4g6H+OzOV6tfj+ad2WfNUz/bqDWDfTDlNOvQJ+ozP3f8qn5I0nw3lsM6sYeaAwR7z5WCJiOvhPbA
SkavFjM/wCbgnRnnWQu1UG2X1mROflgAvepzrB/F+kRMfmeE3bpOIgns9SSYTzC0PRrSlHP8qPIi
+xoDld/PulZfi3Lu2ogGSJce5xVI9SaDp2PiB7eM3vuyVSKavWQx1sDHoO6RmQavRRNUr9uVYRj5
07jSHQ06e5R6rxdnZbuWqaXdgzGuLPNBjMHBCBK08b1ndN1Ls7QXNQGH+JaLaAFXCagC7ZAGAbmt
UvLbBn+Wrb8K3epuV1RLeztYzGNlCnvxiwbzP5v7H9T7ZI1bVOe/v7lfvaQv/cuQjv1vdvhfH/fL
Du+JD76wfMHFL0mbcE9V/a87vPWBvdWEYcax9L2s/3u9b30QFpsVFQClveucQnB+rfdN+YGKQLIv
25ZFye85/84ObwrOB7/d4kEcHMc18cVwIDH/j3GhjAT1Fni9ZbeOrTUd1Im7W6aTMWZLnW9JQfZ2
OFaub0eLP2096/LU4QBIhHnhG66RMVU494KiHmTzqeIw4F9zI52+ox6sV7tTpoiyzT66i0OfDrGb
qLmS3SploEletncSov/ZcGSWPIgVrvqOjMZygCIimS4kJpqVra9VTN+knPuetmfr04RjNk0BGgGH
D4ZqwWb4VkVtshLb5oaNrJPbekzMb8ynccDomHgUdoX2j13RGfdWkRrWtS62qYow6jgAgpnZFTcn
Pf2S8Cj8ZLIE9zHrfj4HZMLg0stmiq9jJjTRZPe4IwG9rU/0wFbzbDbEooPOtU4Sb0w3aoE+BZdd
eie/pLw3h5DCP61Cq1iSPmqmwSHbOclTEGcY133PCVBEqBHuFs5TnuU3sISCZL7F+qjgCi8NYa/J
fqPXUh4MlIXiHOZEgxqfyOFAcaZrgxVwZMAy6Dl31mgWK+01RwMWyDQacy/BJpVYNy7BZ5dm76Xg
j0n7eTCNV0kvIg8If2w0PYhTsg8w6hggI3mB75TZM8+G5jMl/W2M8t8cZdmiw2+YUcg8EIlzX5B6
llzVSTzHIcGIuB1wotjDkdXeWPZzoxpQRCXkduWAoBjniWu2KhTz5hgHWhP5c+9tsz7TyGLTVdwv
qx/KLBusyEPhu62XxZxDaIGhvgR4wegIIzrWQTO15kGOmAHCYc1AKAXVU3tRLBXx9hR9etpJ6rGD
tXjjGAHNWM0u2Sz+PE72uoI9p1m8X4tioim0NsO6Azu1zF1KmJEVOPS6KP3QLQ/5YjtfWxo+Hyvw
gpACpn9rhthczrnqoCxFFa8Qaj0lVCTNBq9HL/QxKYeR8+rmbn0oDOIUEfRjdZ7nwv7a+qZeDqmJ
r2GXLskwRVCbfGIr0dDn4Aqc0DJywC6RJ9K7PnNv3bpQH4eBIQ7hGHfGkUokhXaeXREMYKzPXp2b
94ZOhy+bv6oLXxaHqbHof4Eze9ZDzHkwJbInGxkX2yeuCkxRNF2oRbs+ZLW9vRGRsV1NJ048xM+T
mje9TlzI5Kags2LVnBkPm0iqKz/3+/GwOA3jXkQ+VZ9HY+tu/NwVXQQCQRszJuytCQmmcx67NT1x
olbF0DjP8IjJKYpaXjojqdTow2vm0uM3EvNC055ZgiGpnKu+NfHLzWmzlhhaq+wLbg1r2dEp42o3
E4POckvfNWq6FEbBE/GTsWEw21xso9XS1G90VGl5A/nsk9hZnv2J264bcs89M6EpPq9lwn3T+jhw
kkb2oeNUzUUtyulxYDBiGpRryVpQwlVkjmPf9hCnfeD4eIr01FQ7pt+AMjOLy6oOHUHzH82qGC6A
tZIvsrBSf7eN5AreFUtGHpBrp1N8Bqkz77WFDgAm1q1BTkQFJ3Bhai6PsnvMqA6Py+ZymHfKGuQv
VTNhh7GryrdWpv25TffUDkFUtydtJvVrNzWTjy3CXpIzRGqvjarCTUK3nKedg05zjWXVYEKJhRIy
JU05P7Tkhn53X1I1YppjFEHvVx2ojxW35xO+N322rHQxUFxFm0eF7agi3GKu1VCKbnhmjIp7U09W
E/puZnzBc+fWH718MKh4GEaDD6DwRQS8Qai5yzbovVbGatOT3+wzWv9cnukzzTPxddQlxgmryXdO
VvR7X6ddxBFKGSzhlR01ZsaPJPe7OygHAAtZ0/ZZ9k8WLeo0v35sFs0ZxnTabTc5XXxfrYZ4TNaC
d1RZszvtamwk86508vxO6NilOy6sCTcGRIBx4eDKeVETTNMhYYBUceXY8RZ6CUsOnIpd7VqLDjmR
7L2+jbMige5gmYumZDFH1ouMiHmGs3ElYiqilwpqOn/0OcRtrFdmFgcD73xGApqj7sqF5npYrnVF
caux2kZqnXghlkyB7RgzxwawucA4aQtZEqYcYa1j5lkOhF+VqV3NauZDUWTLRTFm4sDFvBlHXZvJ
cVmaNguhqvzhYBnMsNuPnfQPoCDZm1r87plavLkzpjHDKdRl22vhgOoEjSuxFi+59pqIHzFW4aRz
WKnaKYrDIEvkOaJCT7lharOcwKMDehvXlg7oWFf57VBsKwVCb9svzMNio/Pqun1cG2+4agR0YKQK
ZpkD6LC0+kyL9IPJTarrRTXZve2l09O8Nv55sVKY0xUzNk5fghCFxAMtuCr8bX2cNuGRN5wXbEdw
0F17WJT23t3ZWQ+VnZjX2EdAzBpjbsoA1/LcBTXt0YYzvusFZrak8Y2z5st6cHTe+rerp6YpMEDG
rgy79z8rucq73CKS086zhRZDda8rP8MrtI1pFNdmRrYyJF2cTMYhz0oReHr5mrclXfmWNdMSQ2F/
AXXwyjCxNu95zLT9bWjpg6TO0rwUxgak2HRTcRQLOWmsMfTeGeTysDq5poeuYUlWMv/DabGye6Or
3XOzc4V1NtmcthjMmkZlmfcBQmqShR1m4UBviV8GDsfR0O0kY1vcGOim22IOiIml7p3SqIovAFXJ
pZqKOVRNuh0WDsU+axyB22k722ZY8qLP8qSBXfJMa2Q4YjJfGOmcYPBS87ir3Wx1d2aeuddTZ/Sv
U+kkb5Ct6ed0WB8Nk40VWjlxMhCmvtlnS+tEWKbFRunh4mzrWYt6Kq/Nmo5OPaqvnZG2gkje0sI/
kudH01nlGVqId+fQ3oHsyMzHUtntF2miIl0zOXn6pjy3nqkNCqu6UWPal1Gaz4baS2sr6FnCQOyw
/jfmoXGK5WtiJf7bTKDF9ASUWmdnqjGbt07aor+bY8t1T2lyrn/uVJzYLjPf5G1McAatgUMG35ud
lJi9fAf09BiL0sEaSzkHRmQ2lX9e1/b00AnAtCjDmvcw+0NjH5tFVds9rod72v1Fcy57JpoHtj+v
dxzfCMC0t/TKpOl6yCTTXsN06Udm7rJljQywaQEx06UJrS7mNqEQxyu69emxQuQ4r3MjO8T+bN8I
h9EcYBFzsxuXRYegxOXOFwwcDQpqkLfesZePsnbTHSqDFbn4F6iiG+/JMOp4xfcrvPHoobjXL2uN
i+qMhdZ/XLPcedNYq9ogcfr6Bta9e9ILTr7cxvV6bhdreTlYjVuGGILNZ0sAkSpqtethlMmZX04J
ASVVr6ozWSmHVr+12MGytm1HYF/rvLJBlhFbllcw7sywn8d4eLH6Lk7DZSpLQAn6e1CEXfdsZrI1
SItIXXxThPzMoZGt9VOX6OQREs9jRIDCJiOoFx/mrlykx5XcWZ82yPHQ72BgX0fGfwaO4bAax8D4
1OQv5rKpUK/pQ15Y5tGwbFb+cZG2f94xjVgdxGZO22VhlsW6r0qcdtdZM9k49mfDzQPD0XZ2sNpB
bXv+VLmsee5EvplZe8k+63S7H4jcXC705o2POH1qGZIabz1kOfaCCCNrgsG3aO/7dUjuufa3wzZt
GLYLj20+qjetbzNwyBCUC3mkHOy9ZVAVZKXz7ihlDQCNPdRr7+XyOOTDmj5DvGAC8K02xj/U4l4J
NlvgGyIX5NaZl4gJVG2waJ3tOpUu56Lym53N9OUQBv5LoecMCHLYMOqmpdv7gZ1Ked0t/ng/E4nO
vEcr+9Ty3h5rOh8FoF1dgGcbvqEivMxZthMqRbNC1TI+o8hq4zw3Wnxr2q7cj7M9oXXUuWNiL+2n
5lWUnrsEMRvtNTwjh7PGPSWDDMysfMjWJS73DWogH6HcPoPgzl8AEmMV5ViWTIycFXS7Y7fDmWP3
yxcaPaPgOFY4N1lqi0cKXFZY5pNTrOs+PY/tZnmv4m7dMwa1PPZmvGWHyW+cKw4NXox3lgS5vGlt
JrVynIkoMjY3xEaEdrwVy/Jlsda4DSzQGYtPMd5VJehASFbHNgZuYRf5jpsZb8NM0MpXbl91OeCx
oFdvCnZ3dN3kEKdp2UZTWqLkdbiqYJ+rG0tQDO1iZi2a0KYp4TKciAVMW2bknKo43qiQQ+7G9J3C
+iJHNrBwGzXnV+Q3J0EIRIzjoOSr9WMfD6aDLsRswn2GkfSNqQ3yOAGXf66Y5BYNqewPRcsyv1l2
TxbLqlhraHHt+pq2WQX2nwfYjcn7WBeNgaOy1PDFMbr4JnEneabMPn3qM6/0IsxcabGP81Ldbf3Y
DOddYyFIDn6sYvInarXzqgWFWs8JQ0LxJVLXAGMvN15L6zmExfPfMt/2Huwh+YhVoi8DmSs/IF0S
Hbfd3D3tLXGGadQ7XwdM5rAJ9REHWHsLECuitleKaIBVluWOSRLDfU9mTWD32sWiWGfDaz6matz7
lj/2B3fEa8CRfXxjKO50s/Q5Ll8GnKOrySZJ2KSXVbw44yyiks/hG66L7X5K2eCpRtWlo1N1l7cJ
3Hsaz1e4BS8S15cjZDb9bewzE+OW1OugKXgKlbhBZtXzxZxySrI6cTbkJRXvpOznbUvfuNwW3mNE
Wa2ytxJv5XGI7SoqM4/3O6dCXkx17VRGe17JgRc0Ne0tPCkbKAkRX6gpmHTD4qcenOJFWFKS7hlL
Cv3ajsj5rHem08hjUYv2geky4oxsGHAFP42aZrDPzKx233RpmIdY9A7xFcVhqz38/EoXeUTSXr3P
q95+6E1zvXA3T5zo5PoCu9b8ovs2jpy4qCoslatYDjiScdKySM6vGwI83EBhduEQS+98LDqKLvJG
8pLR9Eb3IgvlrbtNQYqu2u4P0FTmrlC2e5bjvjq08cpxf2qLW1xv67WSjuwDOZfY8yEN/MCbx+19
zQeE5IIKMpRO5T2uUqnL1WrBeYfa4UxceiHtBxFZVPLvpbH0Zz2662kz+dSBwZrB1kh9NSgW0RG2
LQ9b2hrxWdX4yYFhMGdd6RVnNX70wLRbxI9CteNHyl0GOpfr0IbL9zPH0iZRN8jim2en/lH2zXY/
r/n22SwTdV835A/hwmC6VGc56xDUgHdhJlkuUW7OZAPwbCXMEy5NdaOJgeEXWgg/sCQo6ZlFdMTe
1k0cJu4oL6eS86l2ne4TiTcXWP3JNhDSlff4scZDV/XLHe4shCORVl5Y1MWnrrTFp1hUbVTqvr+e
bSzn6OfWvj1NaigHwoOBOxjSucpbRl2rHYh9dt4KC4F51Qd7ca8ZTTGHTuc6F6u0TAopf4uICe52
tTVKzsgTLbYhMXYTm/Fe+YLyjqGulyxU+Y5bxnuuje7UKOiBxmobW7BlJo8rExGms0xMyyMIIiPt
h4bWSYdX88ZLXE8FSa4ImimNeceKuwaNXZf7dUy68w3w3bpYzLwdd6hpxzVOh89G7olHScitwVll
Gz5uzGTB/lXYzx3p6GduVQg+1U0cWsXn39fJuHOHMk/Ou2WmDJnTOZqklNQ5W+F+XeryRdF+C5fG
RC8Yt+od71R8xvrQ3NPSmymHYuO6xOe3c+KZ0SBsrJq+eJTAMTA5FFyZNBTIhKZ0r1uJjSIYOQ6M
gZ9yvAniWWYXZLbWRxdk/V2M9i2GsDkc6ORQkMXrrXJWtVsQ9EOT8YfBSTghl4Wxjhjxj2rZ0KbW
ZlNPyqrkZ0n6gBhSdpJEZxduN7ZnK+eNHckLdXYdL3L9umWl/bEoFvFt7hkWrPHS3WpcXLmS23jd
GvR2rtKJ3iTPlR6qrXztpGkNO8MelgOl9/ot9fLqthikdeimqdv1ooKlEaTlOnqt95MHgRusjHqh
ktpkYlEOu8w9L/Jsm0OPQ8sdxDRYv6RN+tcs2f9pK/xBWwHA5pT8+/tthfuXHFQofan/ERv49VG/
YgP0+V0FAABZKf3vbMAvPQXlf3A8m74/EIDzXdn/W0/BFh9Mk0nhVLy0FkAK6OX/lSGyP3C0QDMg
FwuwQEj57/QUSGv6oaVAFKXvovRAD7g2t/0PEBGSwGLUxjjsBSkSp+llC+4sq5T0gXHiqCOFNcr1
cOoynPl5jnDfMXCqjiqjIImvx8LKtp54FxbDFnFjLfal6vwiC6sV80yIOavdsMjIugtzXVn6kt7q
Xru5PRGA5WL4Qqigh80U741IW2nMIU3OmKicmQZCVtXqmPqQPvSBq4pR1mtefN6yZZnRiRlssPMw
35A811RIZaKOk8uFdKuvwLME5Lr+fLZMvne7FRhTOo47O6qcgpW4aHZtp4v7iQCB14nYJo5geEw/
ijJWX6tirD9ZOkn6cLVwfweVpIqEYxiSt0m4+XPpVQi2HXIV2Ugz2M6ZO1XLwyCEPqMc6K1L4Xb6
87qyd2OlXj7bHklmwUx9cJ2tQy+iqjZzdLB6pN4tLIuWQjka2HxVnnSkhVZIRQwSMrEUJLD2N1VP
yyOgt+9/bjFGJi+CEcF5kDUM+trhrj/pkw5bj3JMSe4akSrBOKcm7ju/Ns6HwS6hHKpJb5HBlmBf
eNM6MHWzbhrz2NA5CRF69TPMVF4GyO4Dv0BROm0glr7ad3mdf8VUXVxuudPeknvrvKWmuXxkI6GZ
gZsQkn5euvq8RQ86QVjzsovLuX2qBsbVTZvXEIghgR4IIOwQhMSm5VOqk/Gp61pCSbrNz3z0d6e5
N1WSdztewfI0zWN5W7ddeleQBdXvicbwD2k2Dme2WJJPebK4Es+XzFyP4lMvoCOu3p5xSkz9uQKv
xCWaAWrttUGK28FwpvxFDhMWXtKqEvvCdDnJBbIXzE1dTSy1lRAcYbop73eMrVxbEDjEDsCNYYwD
2r4cSvzVG560UjR/dDkvn3OsXpd55vtkVPm443fTGP9v9s5jOXJkzdJPhDJodywngFAM6qTewJhk
0qG1Qz39fMG6Im9N9/TcTduM2ezKrDIZSRJw8Z9zvlNC1wzgR4Z97k+EDjum9vuprLt2H0/ZmaLR
gmKJTHJkexc9+hJHg32n+0k+5hk1YUGe8KlGRawyDAjN3sbZ4BT3BGDrDcMA55C2vnNrseuf5tFM
un3BHbfcWJasXpkB5ichCBZEVt35H5xFRWRVpTR2pPKGizRefAZJswO+EMVlG1S1/xqozJKb0kJW
C2ttqCaCmRBM+NzpaKGErTtKokrZru4SWIS1qQcMEoazAIUZ1D2DWsaR4NyCF5Or7DOUVPnTH6V7
EtOI9mMafPFsWrih1vJZj1xkQvK3dNYMlvsuPGbqN8pVtc/lbgLbB91J37TVSpAw19q96EYXLNBK
IifbOV2jXzzMMT+TTBFAK0AsFfuOdSDb2fmqnUO+2CROlA8ycRObI46O2M9FcmobhZmpTgUH5oR+
whGUUNBwSiXBZ27THN/BhqslvgbsGlZEUrIbAAJZXOnrWPKaJ+awoJue63E2DQ8s/CYjZY5Iyvxg
B0nxubTa2mWYTy4r3vB1IzgtfHBfqq+Zu3n72TRX0uRcPzZ27LgfHfcWUD3Cd0/MQ9LuWul6fDNW
okBZ5fYhF9jgUlqZeuSJ4qxdBjyVVbfWOzaT5TXXS3HdKmlOYYe2IXBVKHvv4SkPOF2OH1nnznuh
eggeyYIWksz5HOnM0v2JHM/oX6rCX3+w2HjlQx7I+F1mhrxmUFfxAaIlg6ma/CVFodUgCaRgzFKU
xnOLeHqdj4H5paeE4IvMcGNvWqprBC4SdWmadv05OG3gsLanNldJ62xqJNiXAYbBcWbsaBpYBPaS
jtcMNdfsw6FaHfuqE8twELiwH2RskTG3JgaApeZNcalPqrY9lIuT46VvarDKg1Ok+KDtRr8Xs25+
6Gl0Q7tfzA3HQuMHYa6KZg3O02MI2pEbJ6NZm9zzOr57AZbTQzo71W2QQxvCKbaMjNYH7yiKdn0Z
8Mg0W4sB7NZqqMI9dPHgpj9Mt5w9/mycPrXMnsyNTmSxC9juj/lswxfg9tqwHE3kz3XciJsaA/fb
OfV+ay9WvXPaWT8VapbpbZkMJQuKrTx/4xBpfMuAG6AJ+LMT6qlBGdA+YkPa1ZKcaRvMQFbhZjwo
Q49fs0jtMvLKsmW87UIWGPqe5HicKcxVRlkPAL9ib4RQJKCEjKQWN964SCg/a3xLhmo1cfUwNo8k
KdKc0ZzlP/egGti4gRqbKwQ/uwygOAQx0JtAzGQQbahOekwe6vKsx1ly3Dax9C7ifNCv5EkmbLvg
+3CqEZErIGdpx8BpJ6pLb+ycm6H173Uh5gjQ5XOtRl5MdZbOsoHhU+rFp5QBQrWZe/dzTjLziAVY
cjNjXDmMzRK5S/qW4wffxK345c3pz0G5BldqXG5DrEod6j7lPuep2X0ecuLC27phJaZsuA8Ad9Tu
5BxdEITE7lzmTUe6LZjaegYYqtCBGzVyn1iclrtfodfd3Mlu3syJ/KzrtmaUbg3WU9JIY900Jh26
hykv5Hy98vh8EgiHVjONHHXcpCiHyGRAjmSaLUQqzeyQgwfb2iOVgDrB7qznQUYYTkQfFU6aHQGh
mtsEzMJ97lnFzhtjxrJcqT5K4CNfMo2H10I64FXWpf9ptJAk8tV302iC90JW3Yv9a6Lw/qYKpopb
PRo/+naH+gxSpzaMRzdJC8go4H/rUOa6rSJQAuN63UoiT9uSB0ZFZYN/mYJN8Dao4mo+NqnhXLcM
YAH1zTQ3b2tLOy+2SPLsGIDR+SXb2MYlVyCauLIpjmWJ8BeyIowMj2ZT3qxrwRVkrbrgalqb4NIc
7GUJB4scQ9n0DqP4zuB2NibDz8YeSFmgGi9vpk27NSlMpmihNiTjPa1iKk4q3yrTzWBiYz0qv1j3
5eLFc5TzU77CG0G8UufOWfCZ/Yu87OKwsWukqppB7ROHqBWoDObbj75duhdNxvyiYN6WRJUtuSOz
Kc3XqgsYfhVBZxqhsDyiq0DWshstuENtoHUNUeODiYmsfOj8yxH3O9MHSzJkY7HbTRMJ2bN1oC3Y
Vk0+zy6Q572C1zScAymZ7zGtm4K1fqL0S4jQk2l9lIYQ4GFbnR24q5E9Z9CFOKbsbtnqlC95mdZi
SW+YmKqrOes7Qp6Mdd49P2jv7Kb07+O+Ew1zXH/oNmpcUQtKbfOcoDXyPTuFNndjn0UdseJoHBIA
mNTDdnceefWTjs9zbMoF17PNcPWA63AqZskA+sC4AK/9ViauLJ+Vl9W/7K5EAsuHheVCYXnptrh6
1oYq+6F456AQ32PTXdSlbJrepA56WFZem0CV2NxSURH0zmCwsEAvA+jZZHjKaccYzy6T4UbXS3yq
9Ij/g/b3X6X2rPsJamYfWU1Q3CXrbDwyzQuebGiOe3sMgl/aGc1HEJXTSXqe8brgG2zDGArj3VRn
+pX1l+OC2w62G5ayz/Zl5SJzTiiYR/qyluc6XRA5NHvMs48XZ0CydplTQtzJ8n1NqpzbNhi4PlT4
GAtOymYOs8coOMX0KQHUA4PYEvLGyNi5HhPniPvFL3atmePE8hN2t42bJO2yj51EpRfr4OcnT7tL
e9SuBesszQqKhHVQBF9jNZYffUcv/VlxrOxtz13qyc0W+lr8ZJo7a2+SRzwbH7vEvSDH3o2sWVmT
7TwGJCMsg6oOjPe668VhAWN2loupdsuOSYVQOod4ppo1wrlWyxeGMJa892rOJXvgVTZ2D4ymHr6O
WL97eKH7BVfFboK8ixxTgJC23RqQVeX6R4f3iQdzNWR5yYAXJiPS/uhcr43iwOrArIZJ5D1gzWjX
izxecFWc6+xuwUGuFRM9KNb2JcqdEe+TctIFjVqKDikTFcQJnXIcuakUldct+LWStm2vkrXmeNRg
H8c7azWlez1kuGQvPKsfkxs5Ce3fUK8YT4esTwcMcF51h2GzNS6lx5mEyReu3X3QLp6z6+c1SY8e
kmn2ksJzKA9k2Zdl1+TkPN5Ak5rvAeKQv2kWeFpvzJKreCNmZQkOSYMTK37vk83gfux7jpkdOn1I
4p6iAebxtvlGuKsfwm7o8L5CkbGjGE0xuGT7bqdDLi194QLG6LY2AJUDvWj5flDoXRwD/flHUg1l
eVxSPzN3SdfgLK1QqLKr2oXuFK6lVQ/bIbf7HTLtCFtYTf6eppMgxmqCwWLXZPDKwqCKRXxRtYRh
7A3OIXPZsDOU+RZKTNG/zjnH7aadl/KqwKYoQoyyHtouerJsLiqzWoJDjECwbAaPOvQnNim/P9ux
K4455jRdjpMjyU6naT+Wj7BliL1bvMP1ndIDbd5+c5av2zjlatf7423WBsEr8D3P3UAnaoCV8u0g
Snbpsh4sJcV4Sgx3LeByesLdrIYYdgIJEjuH7IxTWuavQWbEnMitRt0mOeb20o2bN8OZA8QBc4VO
q+7BT5o66tIcj3cRTAVsbmfMwGj6TRKlMXgOeyjZpqrEiL8Y5hn20RIZNyNGDLg7hiJZPhaFSeLY
T5biwGqOCCrtqH+AVkGh9JVz9oAs5XF0WsPFYl3ca8BwVGCDpT6pmTeWU0sMKyKGU+bD5FHjz15I
XXB6l5hTarBeAsGJe80h7Ts0pZ4c4FOvHMXvQ65kfopUWTcg3Qv7imDEqCL+NmggtxohSbdZHWCe
A3FrhUNnzvtZISS0LP0MABnzPyI8cWPK4Uu8l4ZfHQ3mmAB2Bfn/pujPRtDV8jeF8lDo19JzbrxC
OfdtWrvnnGF5zOzFXH86Fj8Of/K7E8/l8MBPPjiQEsOtP9TCqsHg9seG2NW76k31tCzpAHlaDZS5
Z5Z9gWUSSD4JRivU0ipeVT6KJsyxXpihqC3ggtPoNWiQLY3F14HWLeuSQ+JkZ/CNISbnwYm8/oIB
Jj8HVioZT5R3ctmP+i6GjkoaH489NhZzjCYtY1bsFozb98juv226ef6gf2Qm/+/IP57txhiR//PB
5a3+1B/Jr65b/mVy+edf+5sd2v6DeKHnmi5OZEGuiXj13+zQ3h8e8GS86/6fiSf+z98DT/4fAsda
gAOT8wg+KAaOf7dDm3+ck5Lcis7rDJq+9e+MLklb/UvcyefAJF3fFE7gmvwnY9rfc8j/9NMb0nuN
cWD0cqqwjmjBfso9g7nYvFOBuGyq/6oY8pzO/j1p9deP/kvS6mxYyXOzb7cIxBABKbfkQgPCJo9/
Ti1Hhd9+L7d/ft3fc572+Tv5/eMEsqhFvMzxTB+t+681SFk8MmlCUtqNWe5egPNgOJEhxc/SzneI
ZC8mgu+e33S7LQBjbwMxMldsTC8aff0y1lW7cVf1lJXELwdx5WVzCNfV42AdP7fnE33ecsNK6+xk
ORC3/vf/eus/+OcTcZOUOjB+tHmgzr/I3wPjIGeEP7bw7ZG9D8Jxsn5TDwbZHU6FW2NYPSTERUZr
7sy3pNjSH27s3dgzkvNoy35j6vaFy48KUaBeDbe6TBx3b9f5z7NADu85PQ4tHPZ54s9i9M1YRFaM
LJPEagTtNIRrfFStbT4YePW6TVwghUI5WEa1EevdglMYPtcW4+2962UHtUw/AdpBxU+2jAsjuG9D
qNL8jlvQfVMsP9z2cwEftTHmzdsMX3svFn+JBvwWVzW3iWxDpcqRLLk+wpZhzAr5PfIk3wxy8ZML
7A/itq0e/Ny8q4wiZffik512LC5tNS/vWTmIfR1krPdkGU42IhcH2sqEnWMFXeRaOr2BQwPJn5jL
Ab1M7TxMuexrMSYqY4ovwT6vnGKz/nYaY/ewMoe9GPpavpF9F/QXpPUNlYzwQ4NG6U3l+29zHjM4
mhL7Z+Ot469GDybBudNEcew15FGFy0eC0smcvN55TP8vKhz5OH9WfCeVtTOolf1M0+wzZZB3BKca
hLaN4EtU4s44x3TrBTdIXrymMrlo3eBRjRi3Bb8aD9b5wer5C00GlHkq4yyiTKG9Iu2xnXX9IGhF
/i8a4uy/Kh7SQ0DhFXZ5JG1f2H/BIwSqttpmWKytLopKRakH0j5s2iHJMf+jE/ssXQ9pas+Xa6KN
tyT2OOw3ElApu319Sfb7cbZHjtcx6URgVr/wecBzys1i33txH/pBb94nTp0/963WV2KOza//3v3q
9+3q/6lQv2+fC6D+803t9N5VoATyf4n4WH/+rX+ocZ5n+9IM/H8E9/8R4qWQwDM9h5iPB6eGVf3v
e5r8w/VoVDbhYllCsBX+c0+z/uApIsTL/3H5D/rY/40Q7/+yp3mgA6C+O2SMfBLFf1kq/d4zGoga
wxbaGQzA5QaE7Bej/d2IV8iIh7uxzr9al1v/bz+l/2CLkeK8Zf2+x/j0n7BjW5xMPY/v5fzS/LZI
q8RzVn8tNMHhoPtF4xGHfxjplPZ43M+OtrkSoEhJP1ErnWIKnvtmLo4kLtfr1OqbLxTLZaZ2Ss/M
pHIpX2q51KeM4wGegxR8VoS6hznJ7Bd56xYtiHdtjsnO8WI7TDqn3q/+KC4MNRBhAeS/ohZh/ioW
RRGo391MjKwjUs8fmamqSOc0DgYYZgcuRsAAq/ulLOmUYprvG7Z5wk9iblxMR/cO1p5xM+Noob7G
sGBXWvm16MHtbPScTdfwgR9UIPm8eJn7PdPh8m7x6i35w8uMneoqb/hRzMFqrRh+THqq0jzlL08k
WcISD/GH4xvu4yB6Oqrwu6iblAT0pVeB5rSwCW1swM7lpjmnVDFzZJQBZOopnazgnukjStmKqwA6
1d6abM1m1LpRzKTqBVKoozhIuwalIjnjP2c05M0EwOsrnu2AuqwaMAgGlyH4HBr4BltqY8gkdoH5
yCSK+LOiyseP4sZJ7nsA2gV3yyWHEGYrnMtlvkx7acrkZCO/nibPAOYG95YBg+dfz2np3sDnTJMt
aRfvtiWDDeegNy/TnoOWbubqdlYTQ2f2BrSWtRUDQ5ES32HTxNW+dvV8OWZy2HH7qsKsy4IdGbH1
VM1j89hWSHVh2/SGiuBo1E82KSSw+Ai02PoAqu2hfQb1rbJh2+PYzoEyFIseGGVVbRm6fROgZ9LW
dPBNE0NgnSCuQGHH7gEKWg0DJmTcvZumkMsNfw77uc2Q9JdnCI+slh4rNvshuCW+0VuhSRmCF+rO
h2Nv0c+Ayx2TsazqbNyr0STF1CPQ791EgPGqVeM9ecso1u2aLX4c+SPjgpjZrtzQNIPtrhbNcow5
8ZxrArzmSutkeGsrmweJ7PSLMuvkVzyI5oOfTHrf51VwQwc9JqN2IYOwTTG+vYDp4kqd6lTBVK0c
FwKgNd76tuZTVjuxDiTngiHE4OO+TY3bX/hr5s9h7I5FvEnHLKmixLGWLRwne5f1nFnsenXuK0sS
Bprwla9ALM4kTmB/80dbYibaZGpq7sbYCt56WSfPXcpPb+vKrr4KiiIH+hso/2nEsbURWlvzFvft
/I7g0D8SruD2bVed/96mGWHCRkDgsKwOlgj5ZJLordVavwwG9T+SoSmfRi+L75A7xAssU/IgiVNw
L7cnLKQKxD3TbWvM4dSia/6ofc6N/aJ9AgitaspNTLdDH/WOLp1dmkjOfX6Hty7yZ2FzEmcov01M
W+6tZESxTdRqbcZBmgeoduO4T/Kku++msSUJo8zitGLYsTiexKwiOSxIDN3FZNwszQIo2Mpl/kTu
iZGqadbkXfxKYKFlym5GvueUh7U9U/8sIxO0M4z2+SKcnvMt1BnxxmcyuzXoCbq1B+HBag48QVan
sqa7tJbOE79Sb1M3PgwlXzb+Nnb97ofSTkKK3J22nuOVdwUxG1IqKDSbxp/bF6dnTWcxQwKcYEC8
sZjzG5U0wEBnERZmZ+a2BvnJkQJCkI4NZlimdnTk8JIPTkh7xnI0muFCK3+piN9nARUmY8WyMFKj
VEckI8ZrSN/TU0FVC8YNt+Cwji5hNweCs/YrAvzohUpj5MLkb9AriZE9u6IiVN8aJJweJVgVcn4x
SY8tdn/3ZSrX5rNVK0OIMkEb26RmwMx2oO5lDZuCATTRkm5RRys2bEEUy8mvy6o0k9vaVJzBXT9w
LuqRGsF9XzhDcLGARj17cC3erq4mgsNEIDPeJ/KIcbiomGrqyq7iXV/1eOKmXrg716GkMmLMDUuG
MhjDDXlwOsJ8QGwZF9dEM5CzzSBqwSJAIl68nj9CsjfZIAlpzHdwHRFC14sgGykos2V8xZPUvYnR
sK6MvBNPOuvKC0wW+WnNYHeeR2HFwU8WdtC80sszjZgsehQ2TdfuACJ/W5LEegRSDcOAjpW2RQx0
xSdpfv/HnKNspAxuQSo0Zt7wyonua0GEu+vIYiRhWmXDdoRicy3LydrxjTIZVnX5XNWqu1C5rNMw
E2w7iCaK7G21nkqb3IMhUIAFr97W4V/+TnvVNUpujHhreqg2HKR+Ajwrrl1I/9MWXCqxp9wBRBna
jSfMQ6wWvDo5Y5h3Uy2ixU875Mtl7S8FLG1/TJ5NVCB+0efejlDOs6SixeJ7m+NkeaHj1H9g+W1u
587298qcl9ea/fnS5+JD1xkFda/gJFCPoQWg6iguGCocM0zJoa3hyDGkpv8uxDfYvQHnGG5dYYy4
72L71hS994uEhBHKOF0fPV6kj4CJsxsOpp/u5rrY2266NKGsB3zcXTF0n2s60jbntb3wwiCAS37+
pdl3qdtq+EOWPmrGtcUlZjzx6gHf/sKlT888ig0TMwIK9LboLFmZDRMAsd0j3oERD4WK5ctCbvad
3SW98y2gJSxbkJrwIGtKiaJ6aAyM822fixta04h3uuPqznQvULoRkoBymX1pL5rRIXgJFsJEvZG9
t6AQr+uxfh7LDg2r484HT4TCl5IYwo6DAek2PRiMV5fE9X/4q5NMaAcIUGEZu9muSSi3ikp+EtZ3
DlZDLqW9zJYfrT04pyrxJakzYeF7imsSay3j40tUC/C2JGrzmWwtyZugOAigMGob2D3VC5bNIWHj
ajF8YdTNsEVpQcmkm3ry3nR8FaP4nzO8MldxHyU43Hk7HUKWm4l+Ix6akR7TLVgSgkuEuIz6pEfX
fZ7QD7CLW1XFQaggOOyabHsdSe9qI1fJdskGb311eRzXrNOFekm7alxDQ7sz0sA5kmzSNbpN0kWV
G5EwXrkkb7xcpG1q/IzTDgRx6pG42eQdk8qGycQbV3DUm0KTm1QGA/TQ6ZfsneYtVoHgO7FurYb1
o5KN6x7USA0GG9U6PU75ZLIZfweplxie2IZHgIB1jqdTXS2O6dyb3xHsYoJAvkkp44SN41TtcfBt
8VnGsO1mNw5lkBcRYbogdM45bm90k+dptilsM1ZObPBpiKmUPfQTk4IwOlEh+jH6R/eFn/KxnFPi
phfiZKjwPoD9yALI62qQ5c5NQV0wqkYuXRs+7Jwv1+ekufLJnJdIaqTPl6hM5+qgyNFmmyUjnJ41
hrGdykruwJYWWxHELlvuGN9ifsdpLrRcd7IrP+gRtZ55Ep0vgLvZFrfy2WBUi+AW01R3mSXzZPAV
C3G/Wktab80hSH4Yi1Ve2Xri58dL8URfCMsVSPW12qPbLc+xK/uH/jtun67evERM5HtrQ/eR/qJ3
QX+4yUgWj1QjseHaiXGSlNxuvhzZY75fjYTIfgNsbFP3tns19ajSqU0jAYFAnsJNnk5VEll6mb5S
A3dCs7akx1YWlU1TxY0mtnPmB8TfhJeYwLh90AS6gF/n83LhnpED6zd9ABs6BvE8SeqN5y5OwjZW
tcU1yEtmRxjiRhPBuOi2yvLTH+SqjPt6oVV3FXR7rCV2/9BsO7GdbDmFTH3wTnitnkwEMd+4yIuY
JqZ5AYLIQ+wHD3WM2EuHxMJJkI2yaCPVkQEkjwttnto8P4EE3tDLEhlQSx4n4daPFhrTroGD4G81
Q0EMR3MybumpDFA5vb54pjEn6C8AkCe/iCcDe6BXmVNRZZQcES3AAQPDNLt+MrVTPEy9KT/tUtUH
2vjm5qihbb9U3IypzXG67D1za2XuuMZ6NwjssIodo6Kwz/5GUKgzjSJALcBFVTHvpPggxksvXQuN
2MVzcYdiTWnEUPIYbrp05YANwk6FIGzMW1ukrXUqJOT4HRM480Gcs1iU0/2q1mIWZ1N/QsTRErG/
GUsjUwfPV2Snu8m7roeRI2QyMJy6SBEnLuIO8h7Lspcfh8zrbnsHyxOhWBd3iEshyGacm2yf4s49
worxmtCos09f9Ga3ISUDAD/ovDs/q04kj6kobOtjaVPEOif5Y7L6ZTRw+dridNtXwH33aW0MSJlE
ACfbv+l5AW5SI5ZbwkDEDQsX5Vxw/OgATiSQ4Ib87FbiYoHuESW6oE55nMxdToBoX7VWdTe5NBCW
S4cLxuLU6JSgqWM+ZnGLy5p8LMZ07iJiOYc958y/AXLY76q6OGg2Nopdp63q8+m28jvzyaxK/ACu
CU+q7PrnKh6RflIiqyPIky1tCcsOgfhGJAauW9vTPrnOOTiiObox5xNbgeAgFB0FcUtE18rxX5BX
WrdmR+trIskSr2M3uWEdBzFwQVn9kr3Yt2Drv5olyW/VSA3qMFbBK55IeSESG8tJ66tPyQYaCn5A
uivgPg8uqBK6kePE2/IVc+N2/bZUzA6KNFty3zyU3WAeyG2STZyQpB6cMjFORVxpSBRGcxAI9I8N
WOi3WJuY5lFKjS9ATlX/5uRcg84hYEBHVSzNdd9l+US2xbXnaPjGLqW6KT4NCxbTYpEF34zfiKbs
G9cE6gB0EwVAZz1OBncQZEA7UUgJP8ibCDcn3/AnnVrkTLxvKFR+3jObb1QUwRcWKklyJI84I/UX
zfeyM/BPex2+cVPzN3pqJryAMfgbSeV946lqdPE5tOvezenCOyOsnDPNajhzrZpvxJVrB/kSSUas
x+AbglW2U69C5xuONTmF/0ueiVnpmZ3VT/10TS4bVzJtWBxM9Zmz1X0jt9wzfYuxQH0YzkQu9xvO
pb5BXdhlpwi/joJk0vT0TpMTJEWcpjGX8wyKgQ39xTYvCTM1B5o5z/KrTLplB0R5+MAwIof9/5+P
/p9AT88jyN8Gf2eq6r8AT/9H37+X/yL3ff+FPyejgf+HaTk2GFGH6bhgPvp3tU8GfwiPR1agPpk8
MOf/87fJqC3+CJiHEyFgBgHgyEEq+5vaZ7t/EGHwAunT4eE5Ajny35iM+t8TyH9OKKXL+DXgkwCa
Alnis/4ytq8TMZkJpywynStKsTkbCSN8K3ayvVlrCHyyXotbnHP4ZwJijtxpFXLXJiY7RMXPIEZa
JYH3ddFaD1yaeMlxr+BMrw+zQbhzXy9gbmTQjVvbstwznZfyQrSN9ML1qFLfKI152Q3G9OhXFP55
VX/rppV9F/SkB5W9cM62GaMxnUuPvYrnK227P6TboAgIb9mbjQVRCNjLVdaLHVUBIBAnyoJ950Jg
9haN1tHa0XgOf6LChw/Ieu1kvRNcerApaXvreBrbdRtcxcqwrkejV4SpkjfW+5SKCxKiGeUk4Wr2
wa72nM8msFHWaHuuSjIKeZPCYuo93E9zvByzph7u1iCYLvLUTD6D1h+BYFj9RWUN72I2JNKS2e0y
DUFgosb6Sqb+L2711vXQzp+rho3I/Q3iQWZc+63Y1Nn6MwC4ZignwuD6PLfOiUP8pSuyaFj0Rela
+zQxq4RprfGBGXzaxbPzWRTNvnc5Sp+7vnSxELufHAayzGPqNIOtmKdxxGmDIbJF8iLx5u2AeQ7D
zGWGDw9cSMSiRWsnGMJtoFqJhcIYTxb9exsbcEpZ1st+Sd39bOC9hkh8m3fN2VE+9+XWVaVNy6n7
k3sjl9bON+9Yfu0bnEAQQdD43mh5o9Go9kf1gWEHfEQ28xVwuO6Z42DjJum1L3Qrb8pSiZMz+8tX
Fwwk1WhtbTl6zuspb6gR7JL8xrSa9MvtJpyc5wJPEDkkZ3q8sF5akJLN9Xci/5577kWugX5YTKqh
NxmYaG3uE4elkLf0nEN99Nd7mdR3uTD3hprE7Vqm09Ebi5S+nIGwDpkx+zYY6xZta/nAETbvAMu+
lZCWrpBiSd0XnFlGu8/vhaC6UTRtdsK9ORLtkTsna6Ztda4igui1nAZuqRbMr/tB9b11KQQjOooP
KquNqsVICZYzoNW7oeTmRNPQRExRBAUgoWzkm42KxuW9y/xzpMDXwIO37hqX5j5PGeSFwPbseyxw
MB8ypwSvxN2hyiPc6SatK1h8oEOSQlHbXshFRYR5Uz/ElRKLKKaolpBPZjFh0QYW903FWVhdGm5a
DgdNs9UQJnaOsx/RPG2ejTzrUvq7Ksn4My+lV2DSr/Eaj7Iar6kbGpYDF8tuOcVtUkw7OXtcQVXV
dfJHaROtPeZeYdSwEdI14HMzqPOY/At6K2HE+Bh94u+KF9x1W4pGQQAzPfbIEzrQyze1107+Fm8W
BM+4NGT/WRPC5+YCb5ZSqnrBbVy1gYcVFpdiNfHGBEMW33aqk0sEP5G7Nq1eSX2I7Ymjvj0aMIL9
bOYQS8BVgfPJC35YlLptyExsNf8MAiUmb8ggeRVSzJ55VpU/+kwNv6a4rV2KBiaC7eQHrfwW8leZ
7VbtVnJbDmOvrhNCv8vJJXPOGHy2hy0oRgJdJMlWJ6JwhdMxhnBhHf22GwgzdoZOdwEuPFKhJQww
8B3W+l7BIQoxvyf3QYX5/DyMyFlTcs6t5cg32iRCky+dO7CZ1CdSdXaBgGPjw0tptSRy+z7ByacB
O5nbK01BQrVJsE4dy9lf36UHmSLpIVf5wJoH8UAR+guErTnqq3Z5ld7U7tY8Ke6czGLZSxXSUlUN
P1wBuHEce/mq7Jb7jjO465tlrp+Tr+OoM3X1REtf1ARVZPQEtUAnDCefr9uRVIUQyD16nsYS6heZ
t32ALvdrGuHFhL6iOmJTwIREoidsbQCJ1Xsm6wMNbSLvzoSuqpjAGyXM0unMBHPfDj8y2pud+7ho
IScUgkDTDFv71AM+4CbOkXa+94qUiqTCbVU0mkWe/CgwKH9i77M8Wm7KPolk56YPHa3S45uCgdtd
rNYs1l0ypj3QTRR8K82XQz7NP7HZx6gVPMuMX5SPVq+adWfFfRZ2cz/eDgPWY9eoGL0RrbmSDrIU
HVbHOPGzO/KDekfVafVorKa4NIJifqUHqrlrDJM5+bgEwUO/0qi70F5b3CLj1D8rEt8HDAPTMYaL
a2wmaGrvfpyezQFBtxH2ENzMQwnmheia/KlsqZ+LNM8AlVUEhDado+n4xqUuv2Sxtpc4NacvJvY4
LgE9ieKhN1pqjoRxHos4fpJsBa2oxVcqfa6OmZGYhFZG/56rj/9MuQfXujG1xS4gAVxcWhVigFEt
ydaogu6hVoSFCG/RNWULWX+NwpheptbWTQRPKmDwX4LttkCe/0/2zmxHbiRd0q8yL8AC9+U2GIw1
I5fIXTdEZqXk3Dcn6SSffj7qFPpUqRp1pm8GGGD6roCWQhEkne72m32GY2YCqUZXiHUR9OFirwSw
8qRlVlveVM3k54fcqG0XOqA2ZqBhEv8NCozlh5kMpn3WxLVJUi23v2qtGx/c3PSfdBoab2D7csDs
+th7LjrD+bYMaxHtzKq68cpZvLmjpj+YYAHpTJ6LieIli0AHGdRDTC9hZAjHOCfC7I+jTcspHBkG
pg6agsYaQXMnmk1XArQgu2xSGkqUm1pa7ZZ4UblsYNy1A7TCYukupZYSNVhEWXFUIksybzqdsnGO
TnMRJUVfnyTVXTRIWZZ0HrqMyH8pBTcdfAdrjDD2xtbWpOMyOwWc1Jejj2k8PtIBpHUHPGe8/8gw
udXD6JjafOe4cWI+aHRZkq6vMw75Glo9vmvLg1bXJHz1rSIjBuhWywGvpT5nzT0DT0fcpJXmzuEI
gPLBMONUnOCOOfqNyrIFGBFnPz/kZHINALXSDJlp83DltOo0LzFj2qlEMssKMC1mYOlRlfPIB0kS
hIrR8SX3DH+PHhk8xVMJk4Kdi0BQZd1nIpMSLFysQ+D4SEhmSs4wA4pkLUV58D3p79HwEA/nsS62
WiaXG4msRbGttPC5EjprGYC0jeKGGLvfIR2gjkCPZftg6beg6tItQdCrzgMfdjKNo97VIUwXzfiG
r7g9A5cXzxmg+TCnAU6HOOyKJ9sRiYjY3VRc4Xo6LqR/mpuursEsEDPOggPkMZ/L2vRUDePIt/t7
0yz0Ow7l1qXQEuvZVv3U7osUL1FYuznLctm7QPybDNMobETrmcBkymWmKgodeB6Gx8nKVHM0Zj8/
JeYivnjNsVjGKC8IKSqxxKFI9TgyOH98NEYZUESgF/dEPu9bz5j29FxASggampyrxbmpu8any805
t4tjMczpn4Sb5sYGAz44cGf54IWRPQrPhLs3NOMeUqjREmHS8iPH8xicqe21X0Lge6trJ4bwqKsD
PZ+8oJopIZRgp12G6gxle9dang5PzeJFsFcT2/aLk/TBXlJ5HxBrnZa73JZdSK6h/r2R8+89s3AG
aUZaBiF2bgd6j1UE8RbaIIrLnw5n/8aV8VdPxt9PPKsN8U+eDAuPsV7X/XS06wJatuXI7lTRDfb0
n3+Mb1uBa+OGwn3ySwJ8XMqqpltVHb2pw0GZCQHybm6JFf7z56xlPH89wK3Xl9YM+Eeew3nur1/H
CDSz9wOHQu6hGj6y9Q0P+IETgSDHSRhTy9PvxUi9ywZ1C937nz99pQH/7eOZHnoUZXicbn/9mqkS
5DU7qPc2w+1dsm4ETB+mq71uDkYliwe/tdpdXtsELOd6otx2emPI9rSwu7B/bjPoKivWjUeFKrlf
pvvJq+uja9FleNKRSX+W15PL0VRa3Ena0nNkPRQbYlaE1J3gfzCy/f0LcRLG/gqweIUfO7+UHy0W
noSiHprjQs9dRgaUfAO+iFTp0eCSe1+Xcd86/vPP+PcPtXRXt8kTszN1Pf2Xe7KLY2GPeUAPdyqW
G8uz2Ev373onTqk3t/iy/mXe+jcPwHqk/+sdw4cZOn0pBn8T1te/3jEQCOELk7Y/KqCUEcn6rynX
dqU+9f/Dt/r7k4a7mW0IjkBEDiatf/0gs5RGU7dpRcVTafZ3ttHEvDgrwxkO//yNjH/z++Es4xTJ
NtHUHe+XiyZyuladxSmOPbUu52RgS0EHXLKGZwMLrq9J0msfLJiIeOUpeZcrwjb3zKJDXkTJF9hz
dn+NQVag74YYhODP/WH3c6/4z//Uv/0mBg06AT457i4Hy+Ov/1L633tCqOmR4YbuHRt/6O+neuKw
9B9/DkY35ycmezWF//LbQ4uRLa7t5FjFHAa2nWdWFEvHRXH6+Tn/10z+/6+aJk2sd/+IMLn7SmXy
F8fkH3/kjxSA95uNkcq22dv7VgCA/F+6oPEbeqCONVJf24dwYvy3Lmhii/yvS8piwZmI5+APXdDw
qE7CKMmfoX53ZaL8J7qg55Jq+NMigeOQUNcqPOqWb+GJ+NW5mI5uS8tsv+yaoqYmoCZyWW06ymQv
idfRnOUhhw2NEUcw5pIyIqEZ39DvVexi0K9nprRGhLGvxF1mpQGhytUUbeLZIfoeK6/bm0TTLpOR
Ut4V8DKOMJj5BgUcipcxyOC3hbrDLQ3XxZGIHmQfdIbDQI1kNMohObStqO5SAlA9m91+DLaOZWNM
KgHhAheYbYgEJuyO6mj6hX1OpzSG3YenK4pRmS4q6/IWPYdCr00ZTNr3WA4dDcrYBz9BTjA81JV/
qZ0sPdGVS29EmS84lB3LfWVOB46ZLglG5quHka6htBvx2Vkkf0egHi9ZX7yrRU8vaZc+0b4KHFeU
4xEmXPeBjyo52yaVCnHXr2YCu7joaWYCVNHoKvFWf9pcJceRNlNO+voRP3+xE3W1RAE/HYcQmue1
Fo4Jkp+6dmziKOnwLz4QsjPcwDRkAPXFyXNlsgGeJVGeHSsDpJLjjfO3aandG1JqgEsXnQFimLIP
RSPyLeuUr8JgKHWLuK0ccDXAy3b8s9YLupb40cAzF4WxWrYntdJbEs9/NsSi37uznK40WRcB3M3U
JFgAAeEutybGkT4zsI/aS1R7VFgGz64QwAH0WlHa6Zcruq71GeOUHbkL2p0NigBR8Siu0DwbaZgo
ZHAvRxyLIb2jtr+rAEOdsIRmYdzQwkG/hd+yqg1lmu4wUnIuUnl2S7mGeZtSSPJNGzlIxVJVewij
VLjTkFVcKQr3nxs028jp/ekGLWu86w3e+ZuOxg2SppPPvNpU3fjoG3WCmYN97CsDJ/elRmxWYaM6
4wGJnrikaUPQJ/pYHwbHKw5lYKsmVAMaTI/k9EkfSvYgwThGlpaINsrSmVCv4iuNO1DQNdi/gnw1
7qT0yirtH8hb6gfqYaddCY6gCON8rA9t49UXbDw9FPpHQpNDyPBr52nJS60IftX5PN4OPb+xIb3s
ffJAZDo1qVbHpu7HB3eKqeMWu4ixzYdpechBq12yVuMn07o6pBuwxY2I825fOBg4dwOC2F51HfHm
GYQR8ldnduC96LPBCgI1c2vTj/Od2N87DBWcCK1VXRRIhaOggSsDVem1h0GWNr07U32qwPYDtTCN
+C6TOIQ31erwxw8CuNlURuoB20i9hyot5IuRd0kfTjA7LzIwujf8PxW4w66hCx7ZwD07Da91Rscm
VdBVy/klgkfiz98oVkitR+m3aiudqv4iuwjRLyRz6DZECxBQuo3RMih81UQyTcckYybCnnwE4lBb
dq7jN47j4KaqaVLZOjM41N6rc84qg0cyOdX460O8hfMzLToG5/6+fGW6bpcnssQ0xel5ngGzdAZw
lQPLNGhdS88jHIrFK5hEtR+CTqP4yXZfhjZQNwblcbea0iu0CPZPiJ2uB7W/mPQvz8u8vQQaeulI
4+xGHK27EdESA/i8WHe1Mc2fFfj9d5ptIUF1vXOYeIpYYRux87O+eVKpSeMCkU4G7iHqVv0lxr5+
WGw3/p7R73zIYfp8dWoCF27q/MVgZA0RFRZ2KeKQHIie6Ba3fYqFpC/CPqn96TrLFry4J+Xk7mDB
LvZRZJax7XFMqSjNIG2goZJ42ZaDKotLBdTUPJbMTsvIMVNF910uFrrfbLPcUE3Tg3iH3pVspW93
7t6kr2IMfRnkl8mpNV4vwto1uE1xQQ8GDcPIOvs5qJdQD9j0Ayi8K2RZ3ECWEKFmTxNiky0wZPLi
2ZRKNqfBzWCpDIGr9vM0lReBTvjspK246evATTaLbTbfho6vE3Z4iFEA1ER3ujcwYREatIRd65EJ
Dsui8VbsRKXKME7L+XcdX+S8GfM5+ExazVgtqbhe0IgTPCRzq1cBURfgK5FezkAa8GzhxcgB6l2l
52EoL4sMdk7sUr+ADWMQQJpY4NM71LXurMqEJvtsaWza5E1bXQq7VgfLwfpgoIWd67kgzxOTBdpo
2TSFUCvIB6ukv3rT0CMhdvpH2y9XG6PoWm0VD4/6lNsE+LSVVo89E3pLWY34qMFKux8d1sNimzeT
+9oNzhCEttvg8MiBi0JYbt3FBepORTprdkYx86zm74JEx7Nj9OqxDwT5iXqc+0fX0oMztb/YajTT
vhqytV+RIUsUico+kb/Ax5N1q9I0X5agsAm7E8bf+A78q2A5mT0PLFUOBU0MRY0+y+4ce5u5SNe5
TZNSamHJpUTZAhU572SntGpvF7b1g4HqTGIbO+78YAk9eXYSa1z/dt0/50bpin1q1dZzNkGY3nHu
6hv4rpBUI8S6/g7nJt5ubTSD16YIyoMB1LeGOqO31sHRjDEOYy3GEegm7Nc2Jb1uzlbmkgvNeSMr
7+QEciPyR1m8g7XW77oM8uGGiRBjv26cK/YQAf523SuG9xb77d1gLhp295iObYIb8lEutvaxRhRh
yg7SSyMAaSw0epnYkIvNlrZifHp3fOv2FCeaLg9uoysSIckgv8siAa+LvVrQneRTlXeo5x5prxss
LwmRy1MZJnrCgu0uhibDjOg2uSkddByKNsYdJM3mi0Owk4deNSI8JhCyQ1u1v/vIYweQTN7vAy5K
XKRTDNqTjhxnNYSVS8S5DqwZDQni3YkFyQzaMF61FAl7g9SYXUajfvZV65igOoljR8R/nDNGmCzK
yjEbtklZfTEUx7aBw/htAZp27NqVnT8O7nA75Q2ydwKqcRNjJmZNgXG6KcBrz7sK7Mo9dMaFRz7u
6YwsrCzpNhlwuvd0yDuSo3pgGNTpmeptTkoTek4O8ynSfFucNZsJDmma5DtTS4tHelQFQJahXmCb
LutoYBJlu0Xqb8DXmAMNl6201+kY4aJtbGZrbcAQv8AjrjatBSmsc3sTEECBl6mk3muZkz0b0kOO
M4zJeJZVOwRxHLL6Qp9QPqHvWr6qgWcAetWxUZOrL3P5qtIgZ3QKYIL3PutJzl15Er4VH3pRNDc1
xRZPWHDoJ4FdtbUMe3pnulwUoYRV9SmIhqfhkiTW71MJPyceozivl3cozN9Hyi82GoYzmtrMkenE
WlezsWd8qQEImHofQxDX8e4ly36mo28Nj3b6GzH4SX9duzRINEyWcw/12l9FEWAlVlcU7QFphlme
CgYTy3JQ5Z+NcCYkcBaIrbJrZmiQzLURKH/QHDpeF2HPO+A4pUVzrYNUvcQooisb11Sghdllakl1
xvCP247kaTIfNFn6E+JlhROrMgP15OfFipdr+UdbXl5+4o7o3sw0t50tHnHtO7mekl2nidMeI2f3
wAqkm0jrVgM+Pq/lvd6o4MbWmRJviWYH9wzvukfdAGW0h2kG14m6+vabizebgEqTVcaWDRozL39q
fqcRhqcDAnMbnHnw2BimVVJ/BO4gnxxjtHD1WuZ9ORnymQwaUQurobJ0YxEK4D0rZiccIYzviW5N
B+4elexKuuy/bCAw9KIvaXDGeFXiliLsgl7YKfKb+mxV4zaT4GFN3UwORVFCytakJ95Mz3QJqyjk
WGwUXMC+tgjpsGUzPgJfDifDVeKisNgWG4yNbMHGXrAfKBecsYVuxTge4Z6SVpnlzRy74NXacYZN
v4C/DvZJZZffWSTwHirlXQpfzxhQAiSM+M30Ohz9FIZWbyRUs6EgI9XG9Yt0s/HMw2qHaYppfGws
42QQadn4Vm5DjxpUxKpKjsbTTGOLGhPbWCEzC4z2MqO6iyL4EqTUuOgUW35Og5PddI0TEGtNffze
o+yMT2tICWnriQhTLYcHPHNupAmhiWpzOkMhIfSzADGnAK+4s7Kluq89NzPDUYMVQe0eCwsm46Pq
0J8dFsmPoCAFXPuD840+y+VzKtqyIJi6uowDII3Aj6rtMhXicSiN/M1kzP6I6sn5z+MdcjsSzVJ7
06jglZCKpbGLBwuIEaVZlBWlHVljHotoKuGCwO07KJ9NQVU90hZBvockzfxAG7KPK6Bh3jR4gXee
BZDvELRV8SITKzlMC5uLbQepaSUAy+SLtAKbRRh6Uet45X6dAhFXLqsE2EQw3LsQ9o4FF+ApwL7w
yHrR3giLr8HOyKA+Kl+hJIoX7gyl7clUVHNyQWOOX+9exmo7BbZ4bOvl+Z8Vqb+Wj6Mo4HDCEelB
UsZy5K6yxp91d9/ih6VLeNnnnZE9NAp+r524xnapDO+Ef5uGompKtv/8oauc9t9a5/qhnk6vm+dj
mCJHav2CMzCxBi6xl097lYjihl1Gf4+NvN5aepY8NUs37DiSudBKVPv9nz/5r5Lkf30ysokBRMGG
Amv/oss3jqM8QtcLnswGxxPZUQKTtaudu9ki5s10o/r6/1Lc/4k/D2OdzXX/lwT+N4Pec99/dP/r
vvv4+i6TPxv1/viTfyhy9m+c3Uxd911uTkAb3KB/ZJi935CJ0ZYpRPnZSo5i/odTz9J/g7/gmkx6
/qBv/EuRM63fUPVWgZmr/7Oy/D9S5H65kTHoOQzYdNcFJ8CN/Ito31Nm4rJFH/cN2dRH3P3zHWFK
NhZWkHafDJzzs9KDtgn/9EP9m1mB4dp/HRdgCoSxTJ4GtRqBEVnwl0/GNMGw0iHm59pDvEs7y2k+
SlPxxklHwy7R1Yyc8FSnhreiyQAOU4/W5KGP+4L+llzp7l4vGsNkp2IV7zFIox7qLnAs25hFH/od
sCVdUvQR5iVC3EGxmDIaHIiNbgzVk3poSD1/WqrFUjJ31d7keX8vYUd+zLUZvJR6ViYR3ODxgSE3
AI+8d/FsJQVeAr+JgeqPhjmsbvp051CnuvXL8myndbpXYjcrilPkUn0iiOBmZAleKNLZyrimBagz
bjhqZA+gjb3XYHHbvUVj401XNkYVJo7tUvQm3PhZwyRGolBoQN2RB2mRnb97NXsK4Jw7MCPmsTen
jMNPcu8ng7cbJzwBpB5xahnVS5qWEDUbJruElR9HMHZwb02i15RXOBh9eWXXA8lKy76rGrX1JyCL
xIvFViA0haprnV3VuEVI+qnaUDC9Gk6YB2votSKwz7pDsDMpMFpa3b6iiwR2NJY0TPDsXzmrErAN
8S8W/J9qHAmoZdRADu2NPjT9kaKlFe0hcaKxn4M2ZQ+IKjp2BWIjYa9SL8pRD7foFdQqkQ8j0i4N
ojGWc7R10mbsYtvI6IbhRJaEgiloGOGCFzocnMo85HFGYW8jkFHKHBC2U2AUWuZ0v6gOLj+wNEBh
hiioadHsr3U+Q15kdVxornZLCqQ6GsyXrvNSyHxbcSDcCjmktMCTjKMHma5B4sd+UoqtzfobbHMf
r3qkLFt+zJ5LT1+zgKEK2fl672Kw/Qt8QOMTa3X51Xtz5sF4bPAlAewYrqLOb3DH4jmgwiC9zcyA
qNHcnoVuaydebM0pWcqaRCL9QJQAdOykdHo3lqhzVIqyGiSauyZeXTfEMlXfl2iRq4LprETpOock
WZrOrU3PmB5OhsXLSpbGfkK8Lfew7bHLOVrXkqCx9W1L9tCMOKESeCPT51/0jljaRrbz+GByBN3Z
IpnFSWBBKjat3nrvsvfZGMUAfW8pbCGA2AI0vs7K148gOOlVdFuqDxYeqGNuKPKkie6Lg81R/anu
MM2srUTpzI+5orutGQAoG7eGDVZZjy84RElz+YEH3dSdzFVAwaQY4RSj9mBWvfG9bpt271ql8ZJb
STvs+9Kwf1QuSsaOTTNKsSVbS4c2Njva1Xd7tQPKiMuT9t8cXpjZWWEFDZBOxIL39mDCpt6kLe/S
Rjd2Df+zUNlT7zrQCa3495VyVyzaHTGYL1fkn7JMbgw4Zo2u2eib5EDL0SwOZA2sO9fOUkxI0CF7
ClU5HOU3Qc/2nyMz4Em9kdty0fpD1rS3lbvI+zbTv5IcBFhX402L+0IcdOTrS+V5+c4UfCNvLpud
KL30Pom1Ho+s9GlOmsyop5f8c3E7gjagxW6pXxfptpxjdRPLfPpRlkyBN3Dx0nOQ+GbCDexzQl4q
nC6bbnaMTy9T6akwh+IceN7d5NGFs4GA11sEwyvpfm/r2YB94zEBoZ9OK3kutbe+FFEF0RaZ2XCe
2fxhk67G4QHQA8mPJI39LTiw8URb8/fGalk/ZG3bKzkv3gYAFi4jlYOOnaN6MCsRZNdEegSmUN5r
ukF3tWMNSBZo+lciN7n1NGpLRxP2nPfHXEBy6LVyuJVqkHmUwH+lHLaf7/yOfqm5r5FKM7o6uLPi
TmO1EJ/+mJGzqhz/YPnwx6Ep6iGbWX6NyTSf/QJiMegzyOKT4m+YuIHpg70FySNDJWLczib+z9I5
waLzLo3pJkiBzg/eTuktcIdmX3Q0z5ImXxx5BL0zhU0M5zliUAPhL5XCwJ44t90X6T6468iG+o3n
IrjCFsx6GSUdwhvC1QhDNBmv6SzyV7b5eVR4Fo0YiTFgjLY4Bgc8MHunHf3x0DRuZkfjOPq3bZ+X
Lx7XKRwno8N9zC5wGF37Xk5t/DkzYrEfZVuyzK4ejp5Uq6VPm7RzO0pt2B3QmEOUFI5Gt1xEioyU
DfpnQy8g+3/2moVpjGcvDbZTV71pUJyx6E+SsE1Odx+m7hFQ2T4tBwm7qvF92Mpt2j+p3KTUMTYy
G4aHB2h+djuEm1G1lAhWDzHxwU0CQnVLYFu7L3o7vp00gHK5pH/dtzHsdilE9JXx3QrQt+JYQgWM
FNLuOQPiqjndiDSbCr5CcglG/av1pt9n1vejksT3fd2cj/h/mW2B4DtolGNtUrHSC8zipkEVj5ah
c/b+KKowFjTML4ngIieTfc4c8SKsQERtr7gBYsXyDGR0o3pbonRqS3KlF3yO6izd4byK0tI1djjn
zZuEY+u20HqDU5mXfk2CWVo8jP2lkEinCODYi6eJ45xsQSDIuNs3q2OOK6Qi9oJWKA2IBeO0PMcF
qgrn7CYqXX7Yoq3iS+2PCCuyeVZOwjmsrrpDj0ln3WpAB3VpxqtBx+xZgfwzOTgqF/LOjfTBzLcO
dNADh2IOzBnjL23m8S1N+47q5EhX1OqGZjdO9l7DzRvlkydoRsop4rM6ypdkajtntgsSKtR6URMs
AjtozvLeTZsgyoxeAnOuYvXOwam4ev2in/WgyH9gN8XCzivnaIyBes0awDCDOdXjTjl6TZkBtqmt
8PT4h54sw8F1ZhyXfWGSt8j0eE/GzEkJFxjJvdDAqIU5Pu2TK9aJgplZH0xz2hsyVtNdGdD8tVnb
1FJ+b9M9iaBEdhvHrDwhuKWPIjCcM7Z54wnKbfy9kPEyrsHGco/Yn+YsTEZ8zDhfnwQ/tR4uU4Zz
3NLSE4+KhCohYJDtax1rHuqP8WLZqOXw+MjDlfMUYF8vxNdArxTRDI6PNRehoiHG97Un3J7ZIU3k
fEYwXvaVPo9vttOX56FFV4Gk6Sa3c1XJHfOnAPyXrucQvhJrecqzef4+ZG7JY+rn+bWjEuIaJDUq
Yp5SbMnWdggVW/tdRv/hCxQf/TbGLXVKYkPfz6sRlJefp0i6dS65axtiTVnC0nAmbXoaVWkfRsoe
H7QAq1VvuvG9BXvsAkHXOKP5em9kBHI6tdv6zbLjo6yxMLu9uKVSz70xfYqDo1ZzRsrMcrtk557o
ktSgblAbu6QoYhYmVa/r9rVGQ9JGxYg7XsvJYjPICXskHU/cTDmFQLc4T5N9UCA7mThDcaXP/dWl
BvnoNfwLKr8yni13HDFpdb31BE6WZq1FA+53zyuC9xsy2jizgBnutpSIlkUhJYTdKti5VrXs8NO1
NJNTEO4VwUeWNvi9TSNnnanmvQmyb9dSDfjFpoWeIFqtGHkjpAi843O1Lx3VHZt2lO88tMtVYxAc
EnOukBz4EF/TzSjz/DxyylqA/7fEfQ004VZJ6pw+asuc2od5StviUUM787Z9s2QxJxEOeGHM7F1t
GHeBw7DNEZ6oBxYAN5g/ansHRela2ko8TY2R/ljQpeg9dkF9L8oW+6HT5QO1zcb7UAf2EzZ3ROm5
M4O3td90YSycVo+i1JKvSbnZScNL9dHaJvWpXpuSL1eNO111NqjfOwsrv1A1TFty5e117gzWioXC
eDZs0mBVc/pW7NspZ8nu4Lm8ulzuj5wm4GfH1d3uyS9tt7+NISJZwHaUSc0aKcZIlMi6MAUyCgkd
MQ9U5ApA+Awz5/TYGNyE20Focca+XXZRX84uwnvO00vjrG9sa96H59rIAhdOdtsAAPeSZKs0Ogig
uXgGz7tHvSid5eLY1oP1XiwqIe0TNC/kqYYPkyNR2NpNe+0c+wFn91ZMhdw20vfP/Uz4SXAfopm4
+gfTM/VNVEF2dFMnfaEYUXvDZub4kRvM9rtL4eJp7BVYx8Cv70yiRw/C9onlG2KKD3ZWRO0MSpAd
dUKozFaHVg7LYeAn/KCxd2Q8qLn3dtJ0u1JDkgLXCnsqm09gBYztMA7ZtaJ78xL01kDpXtBT4UhL
GOZqv9VhihTAt+tuoTQbfuBFJP63QZApGMvpYWh0XLRT2xF+wo9G3bQ7Bj8Gv6GeEQvDDiMpHhLw
gC+dHwyvKuPJKbSqf80KQS3v5FoXCIH1idrM8gFD5Q9hJzA8mj64tmxn74vV7D+lafPdtuyFN6gy
DxWFKU/LGPSnReh6ZCy9eskNCBVSy5NbGu6y+3rpLIqNafWMSqPpb6bYVtuOypIjbWjJw4gAsLWa
tG6YZqjmHk22+Gxn035ghtOD0QItBNyouxsdlR9rr30d9CmtV4zmzPaAYVg01bQPdIryNiJYy0dC
B93GmAY9zAsK9OY+M9/GpDYv44iKQQlk8JZ6bfwtTlnzgavLI6/V8ToLmPYpe7HbqhcMWmTcXwaI
oY89u7x8Q37H3i10h5ywPDaXmNHK8yhZ772mHr6lkCyggvXpx+wy8ALjwJHaYBB68T0Oa5tx5ulK
eatsyXbAg6LonRaktQ1t5owFGWq3NEl2oRg3fingPJ5wImQvFM9yQE3ckpMgsrZPXhkcj2Xce9RZ
n2JvVFssKMUTTbHmJSFb9IPuUkwZ8OBNKjmy/lYveefhs4itLx8X40wqu+zOupBA3WggFweNG82I
rAIkzqbvcwqF2rwX21qzm9d+aloaBYPJeMyduXnyOuw2JDPQVryf5QS0YVdvUhbxhwL4QeGvYH05
S1psSLdZ4mX5WW3A8H5hau6WNslE+Csfolecr+iqsj5Ht8L2YpYLRkmvhtthNIQPdO+1dhFpnLKv
bwQ7NYhArB38gzLwDBUlHuno2VcSAkZkuB0ND84o7zqDqmtKRfuPoRxIE64tDhLoTyTrtDhQpkjH
w9r2IH0WjBrf0Vvn6fTY56VGVCd3wqzU443hhT1LfB0yM6wg+7TudAviPXEOmruAGcA9Nq9lncYL
Zg7yXw1l9D9GHfcQdQRzNGczLL14UYR36mqeX0ku6hgjqaFg/grxiS8v2BP8bLQwE2mXO3YBpNPB
6r2TQTWevKziBkqNhX+DRvxhhpYxIQSJ6sUu2x8yT+nLaL25+liYRvyo2YMeE0djGYq1hcFnW28d
emX3Lr0buUDYMqChDd5M6wq4kJ5Xc6h6sFJqLe5gM/bCIlOf5k4+6rEy91TlaWcAdT5Xk5gj0Htn
C1jlJh8akpSDf+1Tad/FVlze6MI2tY31s0FkivOj01fVmVGJe0ynmdtBQ/Q7LWU31NsisdbXVIlR
u2+3gVdseFVJnjRtOU/D7F9SMSdbRI9ubwSx/plw+3w2xmoNyCk65c8X7dlNdOcycoLauTClrtns
3c9LYux5N6trHmsVxRSGBaZFc9S+0AJo+YhSd46p362a0LvuxvRjlY0y8D9rVXbHzm4diLFe4TqE
hBQq6QCjCBJbhEPGwROm/GKjvy391sI29KIXXuFuAtW5D2wNCptBeR7fmVnKeEx58tAzcSCUYqVb
S+oUnMczz2WBObAvwPfs+qXPK156dXe2O7TE0B5MYL4CfIHsGvmewZ254LnI5QYmCAu4PToPVjq0
F1C/VDCB/b2nJte66I3GoDImR3UeaIg7gC3NTmY6yzPtUc05tVP/6hpFs6sUg9mtWfGcznLs7xDX
JJxKS7Kl8Wl/jNpRmxVulSaLhD1DhWmXLTU3FoxAU//SFpEfx3iJcWDQEux6hKN5HS2wARY/34ls
EDvS2ctdIFHfEtOrgQtlpX+Z8r55WLRJ59ajsXefaFZ1cGu1fNAx6p0ap8meXadlFZxqCo8IgAEX
QbzC2QSd7Y4zgfmycrjqra6P7Lk8+2BJXmY9ORsBIYPjHjniztSe/X5Nqs6MvI25FFxNvIVRNhXT
gxebRdjOvnbsC7c5aTVTqFlj/qqnbEA0UadbSRqHxVgeOK7v8XO0d7AD+12X49uC98CLlP90cH1T
ogCsRO2sgtfptkoy6mxnuOaRbSU84zV4hJDe1ng/5G1n8OIxx1ujCOQLlkzjBcQ1GYRhzhJsRN2K
x3KzNPIKWjs2tkqbJ0yCpb5LHQkyZ/Hwee60Ai3vPCaJiSTb1Cb3LeIHFTm50F6xkciTT3cq2jOb
6DxMkmy8Yg3o0jPTyPQx8RaQX0WgIfYujuuobdamw4/MK5f9Mij3W24u7tWfgtrYeYRTsA5mLo0Y
jlWzbmUtkAzsmK4JNTLwrSsmKrbIKlg5ebkfNP+bvTPZkRxLs/O7aM8Cp8sBkLSweXYznz02hIe7
B2fykpfz0+tjVnV3RHQqU70QoIUShazIREbY4GZ3+M8533lpbSv5TqBtnJa+1+v2fpi574eJUf9j
bE/Fa2WhWmpJUd0NMAdhFgHsugHSp7LEHE3vKnsGcVY3e0/S5k0YSK6BB5AbkID/TSutCN11wK1K
wOCgPDN/ThTWMxjRA9EdJ4KbWRiks8Zmz7swrZUuh4sTkzcmV+uXD03TDSsoXdMj40tx8CrTvVoj
lV2UYnvyFFKLoRZNZXmfTA0gHobI/wCBaqQDDV6HvdLcHj8w/YfTsg7L4ZVUIhsEI9Tx3OS2u26j
GwXDZP8pcPYf0yYoTiG2WTt16pRWXXc44+UYh51im8mhR0XNd4+q23IZ0RetEOrI2S2YOosb6p0F
9bIfMx/FepwhexaT2lVXkmteWcA0saWO5jWz/eZmjeb0wuC8v2lOW4wL3wAfQ/XYtlHSerLgIt4h
gdrr2MP8tyljc1wpkuR3CgWfe3nvQRmRafQWD052xNzSXWvNBEZI50BkHyuPdmd+BLPaHxFeuIwx
p6xl42rd6zjNvT8Oh+sNcX7gDVE83A1+TY7btVMChilvxK3Ew6ktQ2mGn4GB43QZ24bxEAYMeuGL
6PlDErsgorWAC7TvQHIAxwBv0o+4SA25JS51aah7DGv6vdlbxd2oiYI0LQTnt4kargvIzIq7fOU5
Zx3DGWOcQiXFLm4q48mJfJMoPTauZV5BR1iolvkndWe5e4AHGXzEaT69Ew9mVtZHHNhgslRz084E
edMZLa5xE1imFz5tXbcsspidgKnncIdpOfjotWZe4PgS4cXIXlwCPnvLaKazbhbuIYoCfRtWuTqy
trMBKV//VDjGo5VfsvNBR9WeHC2Wt8Gp3cNAX+KJvF63h/bW/lCtHQM991k78WRAZagg0305CT6c
OmtX3CGyZNk4TbEr7Mk9CNbtVeeW2YNNh8pBM6mfm0D4fhY4ZeVyoupjKzO92CW2OxSr2W/0bkhC
70BU3fKeKxLTb1mopxRr683jdPaBAcB9wLfB32rWIQXx6TWcqaG1CkbkjthVGk3VOnRB3sOHolfN
BztQTkmg2/uP2mRYuIzz2ozXpYqube6q+7JMBeoBawvJvda2j77eNNfccrOjNPhN+DnoPp4c9+oM
RHYWkN/abxNjtXlD7syz18IuD1xuJUR6+uwe2iIe2MhPTPq6g3K6UT3BT4TDDSGc2LkhbhX7TDfg
5pqAn8x0wBDTYdit7RI7Xk1h8RRhDCfA7hz4beEd327t+0CH0ZJ/fI2CLl0bcUllBgi2S+tO03Uc
8s/KwPyTtuGywqe6NBN/JP825ng0rH5bl24Jh95/GIHX0dKdYUhzGF3uG6XP1OB+iNeJqTuPFvie
Bcksvjzj3F+UzZDcWlP9puP6ikLTMuHQ4jzYNxzbv7lR6VwDXcf+aVtDfW9zoOcmkAmtW3h4+Bbd
QHot7nBVL8AWKBo8hvqEuvpBVNhMF7P9/I40sXvundK+DYwzvhX0MgDIp52q4bqLfBO1fJp6fFus
qsG1jAt8wjozBTxu5g94atRrKr0C0WKUSoMSMfEmrlLRj/lScEQ4tppbvFjQ7zl0+hxZojktYJg9
VSioLRRfGvIZPbXZ57y/66iiRmCIam+lY6lYe6PulVvdEja7aYhLNm6a/JtjBeqMdtiuM2f0fnTQ
QMmOzsQ0tvs33Y0AeY0tUf0lzS/+oQ0EB1k3QbeyppYbjGlE/VGZilFOXlEuiprDuFeKdykwimJ5
bLR9oOGtsZmRxBQPptO5GQSLnO9WcoC0Ej2IAs2HFoz+MXYHYt79OHyPObY+AkRoYQmkw7z+g6c6
OX5CFf1E3v5blc5+NFYFqmJY87jh5dzxFl3CYty1nosOkzYWG03aRGdiv/r3zBJevu5lAIm5Htm4
xsJ39gFEsSMvSpv4qNfDMsK1sx9FE7JzFSEmRiVAu4ACLIgtBtn4UkF3RLeJ/I1pSvb8osIxSk8X
xKoyMLVg1bjxdAZExerd9GZ6IGSpDiFRY4tO69H9oPUuZpano/hhHyzZrcxYBtrC8EdxkSCNgRg2
VtrwMWcXW9DtS9DacVqrOvnDwMOkqR3uAlWWmJkd23jKuhodxSxSqk7doVw0gabtGbLnLkkGNf+L
ni/dImhj8wnN1sroGTNzF9uwEJ9VFxcXiYJ6Y/Pi7JKxXS4Cwda+b3T8USvXnIZX5s3muk4T7TGc
b1c5cJANTuehWdrog+sevzyusUw/g+kwP1O7nDexzCeaTgBgaRstyAaBi2DpMxw+TrluHAaAApdR
R/G2jHlInkclbuvaXHuQkvhmdeZaS/qbrTEZjVTP7Vq9AjCpD2NQZHTDFRqdT4Za9WPVfRlSJOeW
48TFnFdnTFi0CALgPGmdNPGE8iuKhBrwDq3SX3WctBcVRukZD7m5LhuYA9A3OhUvLdG8Rq2cbnXX
FacyhZSjiP2vcbbm+8xw9Q9y5dR+Sa8+5W0Z3QVTldRLGZNCp+x2+qC3KNphqXb31JDSvNWGjInL
NhSb/+8N+j/xBpm4zf4ypndti+T9+8+moH/9ln8VGzj/wL9DWIMbDg1dJOH+3RSEvYfIl8/ny8bt
RcnBf5iCiOkZNBr4ridmcxCOmn+l9Eyfhh88YfxGjHCzl+e/4gkiDfibK0h3uRwQXvXJFvK/2Qb1
s6cuDENEILjM27bt1K420va9iB0J+9nie5BprM6VPiJz2eWx6LxogUsw3NeDl7DdF7RLET55ZrIu
PhmOFExgXW3jkktcmX0yHLW0iNY41NG6hQgOdj5fFIbp3WntK4LaCuIspWhDftQ0rBdAIAFNl9SE
1n5M3gh/JdbxZ9pCPwP0TKsT+SFV+ADMPCMbTj5m2FSSXiHuGzEREpelScSM1CvgMgcSJsVZpuN0
hz0w/2DuCaIY59b3McYHy+P1d9IftY1payGhNMcOn029E8uar/DSHtt4VftB+k3kbbYKJx41YGKR
43LO5Gens2iTiwlf7Fz1e60orRUJScjVRX6T7CXv6Rg1h4QLKz5Rb7hrNc/blpyrrYVCWhmoRh/a
a5QNww4VrjiWWHEw7CgxQDNHuI8YaYJzgBRdD8NDnFjhRUUwMM0AVVDL3Su5pu6p8fXwq6L6+zV2
evtGVTaQR93zr7FXWcuh/kNQDOIHlDFzjxL/nLhddY0ExHfAimLf8l4foYLFpy7yiueevCVJJN1a
DNxqKIaAb1FVyXvPePoSMe7uqYzg/rYoe7d7oMkmv7gSbL4deEuq3NAmW6d6ZX4ekKgZ5YczBT+Y
lnnTyvWHlwhWeRqJQ4tEuUaVMW6dl9LyjEHjOh8yX1nZ5QmQrH208trat+2UfRKs6hYqhSe+UEnE
faWwtEsxSdzI5FjFhxRttZVemO/VgCkV+Hd/yHXk5R59aYedIIcJ4SFJFhpCwuh+BfXRMF+thEfW
uYk+kIkpD5lA3JmCwqX/DwoSRqwx5I6BxDhhNMvzK3ab9OJHExFwbRqfzCkz7oqMvGhol9ULWOzx
ko3QJkK900+jWaE+kLhYQvPuVy2GCpxZjumfaVkEUoOmp3Z6BISlLZAUM8350fa2d2lat1lXZoWO
1ZDKY5497Bu8qhc0xqfQptHOT0WziWPX29DP4z76WPxJ1+bZO7MkOFRstfFSOBqA0pTERFKTH6gm
ShWnQtOWw9gybhz1itBQqYP7igk6xGN1zp1yhM7Zutss0fN9Prl3xVBvc4sTiOtNTMK9wF6JxONQ
6MzwUrmdgIvKvGKeD9qdmMoSDu13EY1bPP8xcvTgLWSrpzdiQbA9NFVvU9QKRgz2xqGAYAsLpjh6
pu69pQwSGfjoRXeDpdXfO4V8s538ewGMV0zqpAr3A5sW4+Yg9XZSq+0NecOAxWf+E/PaY8xp9Bk+
rPte2fce3R6LPKubFZO0ESWY+z74TtqNY6gu9Gd8UmxxgWA7rEldcPBtHci/jmxf8K5hpjJSCKOp
oxOmIq5UMoM4kkZtDqWygHc10v1qvDTYgKG2zqRk+DLpLjlljOgPlmvyrg62yeLhD5QKztBxUXJu
mbJi7RnjzPCY5PAS5oG3tzjRrbOUG5Cpu+VhcDl/u2mntl2ZjPu0FAN3U6UwFk/hRKtrMF29cBKb
0LUA/1uhy515hIVR89MeUxEtBQIonQdRs039CmUzcMu5O5NGrlZ4lK441neZwEjnvy5HEFmoTrne
DAc9LYMXtOlpSYeNPDV+3x30aigOALG8Hef+4nsviubYR6a+hIWt3/MllwxuIjpZqbpy4uXATf7J
iUuXQ9iYSVqPh5Y4oR15HHpY+MB9e9Ym6cj7DAEA2cHPnzBjVmuJUU/LuIXyRkDRKt0VG4Z47Qrt
1s7I05hXjmKIoFLMaShI8AjoyWsdkh/KMy+ZtZVmU5aJtwrqzB8XiSkE2ZJILZTf8v1vyEzQbxFv
m0LoV+Vm61Qn7xaF/lLj+oOI454YAzMEoxZ2mVrYQSZAqaTqH4qpG46iZO9mhGE3D5jvOOK3/Sd2
xXTXl6GxCoLuHBXxLbEce8VZddhMHpDrWKEjNUxCtwCy5NYSrOAUnU7LIbCqdZvT5EXu7RZ17hP2
28bnDmE50NLl+CoTlo1FSLe82HXMsnF7QCDXEZWQYOpto6s5eB2gYtFOdq87FFjzpy8zLEJBF741
IHCGLH7E3nqBBb0uuX6SP6T0l/wHLez0ecxunuhUa3pyGMrU3ruJQ1Evr/xF5L71pgAGrWKuHAgO
8a5oAvkQZlq9HStuYlRSdPgL8qiQr8Bow2PljM0d7Ct5LGkL/SK8rEHUG+ZtcCTtnebFRglST+6k
/HvlxMS1B5qM9Pa1ZXoaJNgi+mS6GHlIRVtkss1iVg2IlvULnz5MnWZiFlVIvgeNvD4KkTqRCl/m
A1NKM8J4YyfWtszo2DMM5vNVQuGylua0nEzNvgbOTdOBpD8HjY3/6stQI3BApyB/R6jMrB+ssAdb
5n25gwVv3B2DC7q3h3lBmFzRaq/Ydn3cONBB++Z9Yhv6SibdW0kMDVcsy7hgR2BTbG9JNz0CZG8e
U8zc2sof09xc9lmMG6DTm9UoQRVoIzg4rCA10g8Nn88sPcmqkgGYpapQAKhp/mHURJyBLuNV22Oj
A2jsPCCzDvvcG6d864Q0oqy4nTxKIk6DAnDpaaJlcuxpz2PsUtxRckQJdfmVyWF4lADsUJhcZ9Pa
Gbu3ZeX+DSjD8+B215Ke43VRRBfMZxsHEXmBIP0KqOmpnnIFsDi1bhjay03hU3HItuefC3oW4jWB
T2qyIZQvSo4VoUg/oFVtmSvvJhUfm9jd9U3fYla2mYlPdo7TiqKkfB2iL2Tk98oEsxnOwV0p2uuo
6fepHn2woT0TmP9UwsZ80HMxDcNqExo2PK9E8tkdJ4N9l1NYEK1F4birxJnGs1S2vgyIiq+wlFaX
QESbjDghzoGBRndknvaCvXZagNLs8RAQElslQrceWX690zjh9V00nWaT9fGxAhucOu3oQrlQfNQo
d1jFXW/tqknpN05x40OZZNPG7npxNTz4jnnyaYccYPPBbo8tP+hllbVnhyHwQYtQ1pQAZikYVqxm
yvQhMClFNixj2Flapy/LWnunq0juxirLTqR62KKDChilSz65Us6wKqdInFQf0I6l2dXBcztzJ8s+
PFRBcsxxur21yeA+dwHrn9kBCVikowaRHhDGfU1o5M4PDGPbJ+W7lxU8X7+W657dB6OOsye+Py6B
lL1WYCVQQ8UqNht7gWl8S3lIgtva0F5EnHuvBWy+dVxF2lNh16vcmUEcYgQiADNa+2LUS0A7Npwb
4PlwOZDtIhZIUPPgVGm2ayqi/PgTd1bfOLypeXiCkiuvrscmFeKFtpqifZFRU51E7NVvZVzOIyi6
qBa1U2ksPGS7gDIoSIhVPbvwAibseYBV09c2ZN59/Dm22MquDZ6gBVY3HVDhqqL4+N6qpYVmgA+B
M1h/X5pZ8QK4U1Fu3UOIEGK8NzW8TF3cZJ8ljsNtFTvFD59A1naAP7v0Kk7QpLftE/gsjNATE9H3
2Iyjk+jmnmADjsCRJpD4IQxn26zmVPGzohiDpRbbr9kGIRqRzuDYyvWL4TIkaDtKjZ1IqX1Aj/RO
d4vwG0NfA2e1a+J36fNPu2r9i+ZJ8TwaBvps01NFZLXqzQfIc58Sm30o+8E89J5XseUZmLpwRjhL
IqQxfQYYn5SaN9ciuqkER0MtIg5sSj23UWATiRz6i4vWt3T6qsAu3qhjDhBpPQXBV19ApoCaETmb
IhtnLJsVbOj49N6MocaVXeTWPXkHtR4aA+O6wkyFzY9KvEaIb1xZq/VERcCXbAJz5XMB3EcjFhon
jONLZ0TxTtgAdKlMrQ6l5evsGra/YS5D/s6Mr6nWF8SXOZl7sW+ATDAIwJl+cjGn+o7iIXPBIE8t
OrfJD96UUo0qTX/fuHSI4NpKf/BCq3XgS/eYuhGqBSREQPjZ+EME00dDs9rCg4cFfMMLIULQpMCj
MMmkbIYTIwi7IAovXZpycjT8szk7MciydDAnRfwSa8m46qfsDVvmhP0+wRncYnkQE+INOf1laSr4
oVzygagXX1Uvtwz//GPZ+OM6qKFJSbyIz4h9GkV9MCJXEd+5VdYR6YW0RHNeS1bE5gi2rJgoPYUc
4APuct1zqAtCEJX+QGtJsLGDjdcHWwOc6yHIu1vSOys37FlcRo7kur7RQmO8jAyJNk1IeYM1DndI
id/5eA74n3OKhcpuWgnMAKuqqTD0Ypfb1oz3CQzrBbU7IA6NLKCzr6afoM2itwlOZ8j6uaa9XZ/P
BvEGng/hCqkxMbPHYIcAAwLAjutbJ7N4Bdqm2nUKW5omknzHTpEcjI5EatXl3l07oV7QI1QtCxGe
O5ccCo+lwykbWgNF02Rpj9LENKHvBpimJ998ocGBKhZwEhUs3S6Dq7sspYazNhW7COOC5/W4Arv+
RE+phwVfG7oHJZLijRIXvjxWZAQf8AcnbQHKaoB3EFWDvtS75JbXhnY/2NhQ8n1tdzOWN9Ibjpmi
u5R5WlySJjG+sQPWF6llXHOjmieeMKaj+9oYAIRoePCsKXg2jdZGa+fesmjikftpXgzjvqhTY+vg
WN26MnTu62JID2PjtHsxloISRNvetp1Zf+DOJvPs4JF+Y8zakMEm4KOk5MsIInXHW+PDPzZKhOrO
2/mEpxZ4vjE1lqpZ8QfYr9yl++cOkvNDU/X2JaX5A+2kKCcmv/Wdxc/0hrjJkwHr/xya/ZfMEkas
8RQfIr0z7kaDX4Egh+BgzZRQtHuQFmSBUVEcY51Dl+PKAQRwHLWTliD7p5kdblwOFoiUlTbDfZiH
m1jqOKYnfG116bsPbjZoEJ7MngN3mZ/1XF/DggGQFNLNLrsw3oFVTw9+jasDl8rj4KTvtezPZHi0
BWGFT4bPyd6twJ52ZDh0AsRyYQ0visuPx3fYpVDv3Prjt7IqtEOcRNHt/8rcc/tVXt7zL/Xff+kc
/5+//uP/GxXkWMdwlxPC+9/nHbdt8l6/Nz8PNf/9d/1rrGn/g94BBpuOwKuuMzL/t7Gm4/3D8DlD
4Yw2baaeM5fs31oJ7H+4BvZfZDDzn4PN/5hr6v9g4GmRn7RNkxmSYf9X5po8BIMQ/HvF/vN//DfX
ho5HYJcBDqAG02VK/utU0zehjynsHOtGRHw+J4YgzJ/wef30plz/+Qf+3AD+e0JXJxNszzF50sgm
r+u3h1H4YZMef8Car2L3rdM1b0OLQ4ju3KS0VOYwUP/6AY3f08jzIzrCtT19joUa3vyMfkKP+vmU
em0aOGvwrD7kGAzeEW6oiLtO4VoFp7M8fvBagDNN4N23PYzdRcXv+laM5Db0yk8Oyomsg4Hfc21O
LQhgCADnPJymkwE04/w3z/f36Of8fPmR2wLmHKrfH/W2Pz3fxNUoNB0KQn5BmX/23ZgChDb4O4YC
f5XQtbPAJw1JJPbKz7qE9d0OXv88hgkbaDs7VNs2fSrKoUHRmsoff/30zP/8OeHpwT11Z/opn8nf
kqmuj+MWvZcGJkPa53gySPPEYh7mqj46UrnCEAX6WXkE9TGsdQ0pdd5WOUW7zEaQCV9MiszuMLIc
DUPiVNFuQ2gICoyQBCN29i59syDlbUkX1desZErWhgaxgrGS93/9Wv6oa//1M0+CDv3RMy0CCfz/
rx8NL556vWktsZbs2qdRQKGDk2uGq0FS793XoE2WuaWLtVaq/pPoHKejjGrYdFHkMwLK8Zm6DEPz
5tgddVfkwU55qonXwUg3SomzW8fmitaNbulmWnhHW1y3b0qo3oA53qSoGAkF4tVH2rw0WguhgIzW
GJNdGnG3gqh3uOcXuCK0YILoHDFUYrMwgg0mYAeXgYvkOnqAmrKe0Zqk+2LGhE8IaJY8CqdCxk0Y
wNNKaupHPAzsgImJt5Vb0pC8/vV7+ccX97f3Eola2BaHR7gszm9fM+nmnPrUKNbUmOR3pZ4WmzLp
9ZNHgyk7zg+EQmb6mGeA2dBule+oQup/OFVWf7dl1ZyrEA79wsSUtO/LLFu5GjUDuIFcYwk8W17L
qFQ7SPfhcAxlPn76bW88YL8sj4DbcaNbaXiSE7C7ZUZD2IKy5eHkpbDBmtbR/+aDw8r6+2Lp/YGr
teYMuuCr8OsHR3o6CuP8JVBp1V3o3miD+a2195Jl/aqNjr+pDMJMAXSlG/fK8GhJgdKAJ17ujMn2
noQS41fdh/rHX/8c/mR99VjLwa3wF6n6eXX5afXIQroCM9ELgmBUplh1+SPqxr3dgJhwh+6fHFLw
oOFX+SeL+Z+8DaCdTdCqECsNlvRfH6xkf+AS3og1TBP3Vaf6Yf4WJ3d//ZL+ZEH85VF++5YytIwd
ZdViTX9n/KWXuJXHttAkbGWmLH/9WDMP47dPsUejDswBExCnPauIP799fCQTKc1KrAthmUdLy6fP
yamck11buK8GxbJblL1foqTpxdUvgnr110/gT95SoFH2rGIKYfPLX59AqfVCVhEj2YyWn2ejr2wG
wJP7N7uw+TsXRHgGBweERpZwNAN3JpH+9DExWXK9MUucdSfqe4nxlcn2uE24Fw/5I5ygu6GwltbQ
fw499vgo0+4mjsML9hOqeax+XPltq6DU2eXNUbLfzl3VOEewGUnCV2Okr2UccmuAhSvtgYGP5U8M
QgB+YD/7G1zC758PgSRsw+CeqQnzuQrp+efXMtlTWrVYyNYV2w7xNqIEHJCZozml9jc/nf/0tvk6
e7NtIT1Raw9j+deHiibcs26r+dhUnZALZKrtXH3qjmENhNVSQQsr3/D/5kE5Cv7+rXaYJuguxyVW
VldwPPv1cXuzEWZORHzdZf2jQCxdWzQNb/1g6F+tqszBCQ7qXiMjXIf9m4udb+My4HhPQrK+WCeO
nH0W+GlcUhXOlUuSvuK8C0OxJpvbIFpRqfkWmOqt7Iiq6viGPQ/zkuIyuKgYCizcftiLtLMXtav0
q+9A3JyJPX48YgjUaJMhXjHq6EyBAIwKvS0kwitNLdu4AzFiH9fNwpL5rcVFix2H+QHfp5EYKov+
PrU9ZKeyvZucd9oOPgt9UnfFlIsV7pfwVZVae6dVibnpE0UmZ0r+YJjmGPHcBLi/U+iLnGvu20ip
KYUjEKKWPvUfn2aGc96OUF3B/lv22xCbBBL0/FFKPJ7etuV1xklofBBEqNfk7LCha2H+DRpwPOFO
F/VGVGm6LoDp7oaMMmhS8/kFFmF6NQYH0d1MqmZNhJc9F3/Yl7JS75xj9NvAdkTsiFN6B3yQdkTS
6JRfBexS31JVAG9UBTHyhJq5zHkQBH1WGG+x3RctY+flVEXjEbqAfaMbpFq68bgeqHPwgViVUTFt
zYzqMOexne+Xg71qRtP/Mfb0wvbtY9W1Xwmny+d4JlmSIs7Xvte95FF1UPmgNqptOny4lfFcJYl1
69JaYLOS3NwXI96FhT/5YC+qW+5TZRq23rlL8Zk3EiZFRBoNsJuHMQ1OSHdX07+5NaZMXJvOyz8L
xY+tpYTWZmYQ/gB95W/DKUC4ZbB6U5lnvBaVzKCuWaBhGyzlcTJ417LM5Q07GzayAZigWOZmhUM3
gfuZhVNzoyK0fZJ4DJeVVo+PWoRAJEstvWiyYn4+1Np9ykHr0uLQXibzwMWgAJFHduQlmLR2TVMM
GHnbM961wKj30NfExaxlRedw1eymJEdYarPvdeeO35P5Ffa60LZ10F3Jcmyn8lE3DBJ6+XiHPnoO
NFdtEz3p96WRlh8Blt5HOlqMRQUjiwM4wTyvSo2D5maEBpqqWQFbZO4/hOLmVn10SaE8Md0eDbTS
uvjh6WrYaJ09HnJZ53dk8L+iSrwVuk5CQhklAZPajIcXV7nlzqaVh2kCxuHIwhfRqogqkj4pFm0d
vtRSvUi/Z8bWCKP+npUGUwsvdXa5X+Vb3xrLtQwKc8nNR8FTqQVujdrZJbXMNrVG15OweFKG7pCp
qQvtTCIQVx1tOqc6LZAwaxBqedVTTGGRmnaKcGu6M0Wh+7JEeMxKIj6KMGKxKHQLSiZW4a1JRuih
G3xv3Q2dtkktz7sjoI2ntNS8B6sdvytPlPdZ3Tt3omVV4DtIQ5wVd/ssF9dJ6tatjXJ+JmYLEQyP
WXuwDRQ632iiTeT3PV58BDyzlCcUJdKyFt1opGZAkART9NRYONZSS05HXa94gWWlliPuaYxuilCB
UzHiN6LknTKm9tSFor9Q1JrdmDT150Zo+VqT6OIRcpmw47cKKOYmpCkVGC9JnkavV2lH59WgMSSE
JgKKVBvMD6tPWkzLFVKVHzH+A8hwZWjuh4uAq52zsXL72QoqwRoYEgCNGGUabnoHSgbgSTAeqZNC
XKWWIE0egzQteMUyvVn6YFBrF5ufOmC0e9klnPS9frK3iTJxStZTkUAgcO5qE2mVNqppVw3WgxEM
S8RYcwFAscOL2W6xgrRrvzZBrlTHCCMvAInvRWzPvvHOxpbtmFvEzgekbXx1Q3cuRBec+rZM4AaC
5nhtmMKvEIeKgH4ms6QRNMjdDa6Vhtv1VB8bowlJBVhUt6ThpQVFvGzM3lhGvTWZS7ccUoazNQJy
7JPvFqrA4eDbMbX1AY5Dq9yWSZIeSxSfq4bBYUNwrzhFZSkPwiH6ZTvVDRYIwVaiHO+xXZdkvvR0
awRu/BwUnr1uBjs+AWC0XnnW5Vq1qbgUXZxt/cGbtpEjI6LxWnKguJUwk8POWZtjxfdC+rsubil6
h4R4GkkHrBTtZ3tpCWrjR4Hhtk71c9ZL0DwAafmM17fa+JFGzBGwOI/q0WvcAkhBJK90m433cFC8
o6yz8ehObnLUbWtc28AkX4rJH19bWpaWvpkZ90NYVdtC2OyFkZls7RprslcKxElcw5uuImsuiZLu
48gvD4kVst1G41V30mg1pCSqmew0a51Xe+phHh5J/4hTYLVijYFbfzTJJdyyuLFwyvbeyfbDdq37
CaPk3ONXyu/g0ySfuFOSx0jkOgGFUN/xEV1XrfruwZpH2uC8CHxvXl0oFIJol0nO/QRJxr0i1Wxp
9UG2d0KP17lyirtZyF2ENEc1S0M6wVrD7nu2YEjeN0DmP2EC568uOHpq8+znMYAlWUZMtYuq6bai
72rCYVNDoML2C9JBTo7RvoJVZJGWxC5nrWI9UUtXq6sHAvZ0Dg9T5oPnliLaU4MjN/po07RmEPtD
TeWDHzQ1jfFD4dh7ANTTnsrMF89u3CtiMCVFg6bdSDdn5ymuPh1l0qiT1hYn4KwuHoq6vcxlna4C
n+PVhzCdwqtIfWeFDyeFCBUl+87ifQ7dWCwri+gY46izCuW6C4MlB7VgUwd5LxkQ0M1FqNS/6w2/
vWsaFT5xxSTgRbLCoMWrAJLsqq6+0HETPLu1a9zneaOfzaaXBysMhzPUZYXiG+uAGasoeuyZnl81
3RZf1qD7H14cFdRgQsZC7NfPBgRZIIYFClXMoW9D9NiCQzVY47vpK/eUd2rUgFSVxbr23eJeFm6x
j6qk+8r6wWnBxGjySJ66o0VI4hRwjdh40gLOJEkEA58IOvt1x/inJMpK2gMSu81W2VbBoy2Nlh8+
cS8oz3k4q5JIuwq5Vi4qmpXAvpjZ88zqJXE6ZeGqVllD3o3USLBOMJfQ9VYm/oUwYbcxEbpW+F/s
gcVGE29hxRbkyiB7I47lwrDSNJxsyLaLvs99yOp4HBeJDvyI80xizcJLpYCEaNMdbgXWx6ZW8k6O
kTrjsbnPnem77SYvLQyYTRSN5qEOA7BX7QQsAMuTmnBCUfBM+smayjVZmIIIDduNbroup9t6quYR
0bAqcqdaycxrT6ZVG5soaKONayUBleSolos6D4Z9F9EXmlsrFCB/7qqLFwZAJ8x6Y5Gg9sbyuaBr
sw0+J9u993rzsfa6d4M+UuiY30Sq/hd1Z7bbuNJ251vJBYQfWCSrSB5GFCVKsiwPbbfdJ0QPbo7F
eb76PNr5Efz4EiAIkJOcbOyp3S2brHqHtZ71kVqOE+nE0M/tZHpRb1Z4Jk3tPpSoA4d9WWdAw0xB
bGi9bf6jNptu70pC93RpjMRQlxZ1kierqy+74dXo2d+J2kMj5TTW+FhUGcAIGNAS43EFK4I/wvjU
xjJ5Lv3lNcaRFJGmWX0uRBqASJpNO2K0NH9NeTy8btptjxDojbBqGjeqAKngPuPa+zOO8NIbzYou
gYlOHL3dHHmTPaxdXf3sAXqIJlMkn1WNSKUTI2iBOiEROvHP6CoaQuUYuCDAR9OHCLw5uUCn3k3M
aWRIeJONvzvB4aLqjZ7VhHa0G2OV/eXXVGFJHByZd6uBmZUyBszztuHdKWYvRwKb9Ddk8FkaOoxa
w87y9QNZZwaSE1W7B8wS7pFFEzDYzKntQBD5dqh61E7G4tIwuAwNiUlf608advPCiKI+dp7l83KP
PpmmJMM58fYs8hlXIvzlgaHjYbEH8yfvsBWuNnGoxehtT+gbMO2TjEcZjOTxRF6ccTVTO87JB+6K
a8l6/tZRfMA+KaqgFmV9HGOPYDXbERedeHgMzDPxP9CuxiTDi9amr85k1K+btI0Af9xK6DXHaa99
9QyK0fyRytJ/GQvLulouJm++ZPL7fhT+IKU2fQUp30r+ZUGAX46Fp8kN/83dhuEbCoLC349D9puD
pXxMp3l5m1np53j1CnQqUA1+3Jm+fIa0iNLE2x7KIWOvvyXt89SRT1DnjX1CFDE8ZkLXOwAoyfes
GeMbJrmKF4jZywzK6aIp2L5rP4OU0mG6PlLzNA0rQ8cIPb34UTu5E9irMc1uTAandzgr65/FWPW5
9lmn7jDX9s+4vFzGKVu3RhX12kWVg/qaBbJRlm5o0RBtNs+tlxMCQt6VZZ2kS3+cwjITUQEIed2R
kFIe2tyrorSa8+99r7vPNgdpHNomi4Nd3W5E3lOc528j+p+95a0idLTR9cQcahob1LbmQ5tO6aOB
qSQUsm6iKQbQZNgCzwoe1SeuyfwAVLa0eUvaBMWGt76DKiSeMjPKAIGTRPq0gSZrq4Fd5d3Ki+lt
503FGDV8BAN+blP95R9BZ89OSWlZrJ6LLsxo77quxJMvBGJke7fLqULA0uFaxib1JoiAI3LPpL7j
P7e4J+IlnLbJuolJEzAM5YZOCo33T5nG+WclcXiEsZDDBNIcp+6LnSKhLFGdmHs0T8T51U7PyZCs
L3xQRuhNtxCVaWr7yKW+HhdX6aiwDdN+13Hc/52sHPQuMu2xOlsOdpmAxkDOF3/NFHS6GBHIvlwL
EnippA3jxnZ/8C6CxMs5XKT8GPWio2bDkltuth9lRobGQ081bn0q/LzmbZcNRs9azzcWvS1HwbaN
C4rfzIcHXQGLH2ooHtLdvCZEQr9aD4z3YrTvmWRR5REIvZNza5wWsnOvhe33b7jM8gDLktrNrUuf
ZnjL363xNyJ6LWc+b0atf0nRTIe+Iek5WLlhsfDNAKs1duPvFvbUv2CicGxu0vjDR0eYFM+9xB3f
DGeuQo4BfjZOFa6j9rpH6SXrY18rJGce4tjDJFFNMw1LOM8nXc77yUZG0MZ1c8sm33yscdr9oLWk
XXTn1vuVk77DdJ2D+3tLGloRevZ8yYfUg1sO1x9Kxayaz771EVg0TvzBSon3akIdY6JSfSU+xHuI
O5kUB8Ozf5UWA6i5xzU0OCxPmGcekfOdi2Ke+GYzAtshHEjgtJFouozLcLDNJrk02GdvhQQyAGh7
7NzdOEF1WiuEh0iorLAxsm4ItVV33+1cTVHO9fWOqiMeOOFTlfNJRH/utrz4WVMuhfNcDxGvaoJH
dxRPTZ8bascNiA5qweQFOn/Bghwsyxr3e+mm3JLLtF1zIWgM6IZ/WbL1TkxXk4s1LV+9mL663ngz
aQF2ZZ6Jky1cNuY10YoOiYwok6vxvUNkd8bt7T/kTpJ9TcDDMcvX2frIZIubQVNYo6awyFxqSZMK
m45AgG1pjK/evyMe2a39xYs597/vvwWeOzWDkllSJ5WhAnEEA3HKaO0V60yM9kj0dg2c88CJ+XA1
ypFWb++y6yb2gdv8K0NwXwSTtwy3JXafSEaQ14EzWPKx4n02LD0THSzyl2lot1M3k93E2/Fp8lXU
jmQBB6GpWyBfW9F4cEQs+27dfngjc7jkCCPs0+28+Wa2rv0BjIFPzjW8Y744nNhxQVpC3fTO7RQ4
RtpumO+wxxlimSGikwkylwWyMrGh+NXtBZTuBLqxbf6s5cK4TRM8GDf0usaSQ9Rt54Hkhwr+wx0L
zrdQSAwKJl1zw2UFBWrhSh4KazlCTTdAjfX/5JwjPU5Gq3nsyas/mE7nntBUJ+aOk0684gBTvxll
5CSN5x76FTCCp030Lxp90ZOwmAv6BqJMF+feNQYWNuQ8h6taIVV5HhJ/fuLDHGwWdg16bZ7YFH3S
5H8AWXLf002pc7F2TVB4m2A0q5e95O49gySzrx6hCnuPcuVjgrZ+0VLrgOKgCa1lmoNsAsrokFl/
XWboYMwSjPVOT2dbV9FfPUMy4amb5ukC1Cz7nXQYERv0zJjfWKPhz6/ekJsU30ibA7llJO47+/qa
liiLESs6Y4uZNAHtUKocrodTDTiOSIpgBltar8NaEZW8IgukBWpOYkNS39ik+XZ3BW3fFlMV4Awd
CNRZNMReaskj13QOwsw1UaWAJMPDfeeBYIOYfnCMEumpUC75Bx9LwAbpJRswo/BtuZP8Gn3oM3d8
wVViRiXlPbkkjEfQHy0WwhdfzsZzVq75Y1vXMVgCPRzTuoMpOEv1sKB8i+YCvInXbqQETT09UA8n
r4vz5ilb6idMm/abWOJd1Vk/slrBlvfx0NegXlAXTm2oYMT2+6pTAVL7K7nYMkqS1HyBX2UHbWV7
Z73O5TXri28VdvmdKKf0byss8ep2DuQw1P4niGBos9rpFXUUaqlYzS+zns1oLGVBcoYTVKOuwh72
xwvAmYSUMa2P/dCpg6WZMjPQta9z5YxHiXwdNuA/XHjOfK8DBYhc/LjgXQR+7B5HGMv7PB3+DnQr
f1bAtHZjEK6yYp1Z5ObuJjZfBQCFk2nVcLWgCR3dFDBwGbsDbhWmA+Fmb+m3YRwPoF1Du634GbPr
CgkJ+e30ersk82zfCEFEV90RvIICnJO0Yv50dGJCsevCxBtD0rcXWvLWEv2A+75oiFeRQIkhzOBl
GFgtN6HZlheP2PGtQbGUV4+ELYyf2pd/Rs9IjqOxiNNaYekcvFI94/0M6h4y3jZEBnrJXT0kzqVr
0xuz3/ruUcHulT/XhgR102wzRxPtsDXrhXH+tF4YgL0V8GuSxnQDFg8IIDOGfROxoTaMjwSGAb3E
Uv6xhzhDP9392LbkAZk7VvIkq8EaCwupN7t9i+vAkIdG0gJtMju51to3u9pvNYruik0WpYd7kQYk
ym6jQYadRVqBLe+eFJ0zpKSdkMJfflQEi15IwUBLXSua9nE5JJy5e9NNimlfZvJXTeTIK5zfagyT
1MI3PBsWQa1rPkTluiKYpatIz9LIQDGD6pWf3SSM5Cd0p4LXs2sUfa8vvtmAtOm1JqZtJI+FBe9t
E9ylz5vnrf6BBQWjjC5bn2PDiV/bBihKNvq1f3Q9bGwSlhu4jzPRMBkLzIlEoGhyt+xn7Mbcim7O
I9VB7c+/GRkwCfIh7NT/mWQxB7GQthuYSJnji8roT3BrKwHJ0s+LZz9xpX1inZ2XwTqyH2FBmz+U
KH2DrcBkMbdQf1eF7BSL7a5VEDTu56mvSAbpspd8norXcQA4HXBuVEeCI5hpznEF2Fhlyv1sMIzd
eePyTwFzbNc5/qjJPqFu7unrAosEvsO2DRaq41WAC5Zc96XJj5pmcKJbjNH8P3tG98GguIM5MEMj
WQb3DP6EGT4YGMcZJKcVfjGTpDp0CIRXWKdeNz9TEwQCe64biOMdIqqbbSQXcCvGqyPuGHaSyJNn
SUFy5YlLIaznLR0xsIo+gV27ij+dXAChrDj4SphbbJfWdqdz/zhp/wdRdC+yXT6cuF9wswF02OdA
sU8L9PTES4ajU3X1o28ThaU6HnSdMWxM8KQishHjC3d3xQ1ZMCXLy0aHtAF0qgORXMmu3Cb9tU2y
DDrH7gPKHjjeyNwHN6ZnchDRV+hY4qDx+/kVROrwlmClhmCHMcsqZfuYI2AgmfXa2wYp14sr9sJL
GVL0BCt/0C+gRkSV1hLATgz6RPzJj0zkvQ46tS6XbehNQD6yyCl8M9bC7cClqwEisaoIPOYFa574
0WqKcW/S6licP7p+NMtKvrazD8R8Zn6amQbLEZl/YoUSx3XixGW2ulyzWnaA0JbtY3Xp2ojrGCYm
G0i9s5vq9Mc8C/s52YA5HPrBXn80ZlZEI9XxFUyM+ljbTTD8Yq1HSbTJANeYb16X0jDbnevybUAP
ZuRHgt/jm81o6De9KV0IOEqCDUngDga+f3wnjfTuX5OifKOFA5cEwbNY8a5oYV4c32Bf0E/Fmx7a
qBubGUbw/D70OP/6OnljgXxshOdGJbukcNxQ1pvrChJFdpIZd27c7ISVIudK9gYFsUQx0tCZTDxo
uxJV6t9qyx6bltw6J1uPrtXtwYDUoSpmrmwG+cHmZUzg0yZMLbj6PUqbcedYpNT5q7bo8VHDqL0j
s1/WCBEEUWMzR5r+84MMNWarymlJzbTaP1XBPHa/WDwgM9Ht2U63/vRaSgFqvxVDAUYeTpO/be6D
m3r6zVoUlsWRYR0BOqTC8edy2x0uxOQZRsnj4I5UFlOTndmcsHLAjkzer19CczFHGC+OnreXDTow
8n4x4wOAxR2hzwWhX+HMp1rJ84+cU/H3JjoiSxHXvCqSjZkTL012kRimGxq46WkoWJtNVkwjV1vG
pcyshpaprZ1TZ00OyHWAiY8g9M3ztAL9YIXWgI5P0+WeylMCwKMUs/BVD3zLA8Ma33E+gVn3Ni/M
1ESwuidyyjrrpNyGa3BO5VH2VFA7mlLrSgeHWbVjq4ihq92eq+ZPn2fGF3laRtC5o/FQ3CveebOy
F/R69aPtT2NQE0/3lG+biniV7CefcdC7Azcs9HxD7lHPV/R7knjMDSKQxAYdEITGuVVZxQM6J/Dl
7j01LW5nnOf8fCZqOYBQYob+XrD3r+F+74o2Ft9Lxg0gEskmbgo/3VeZrcC3+9m1ELX8DREBgyJT
PS6PIocDPjrS2KWzkQdlOmLLbYCem9C24fsZw0eXpfJV8Hw+p43gUUrsgbnDVr9IpFq7mj1UwM3T
73MOWQZUk3MywckzTSnWbO8VElyMborj2Kvhextz1tXEuuTHuULZtlvNnE+sjTGFGFzh6m4SFxK4
W6e/HXS0n3Lysttq9S187MIILISKuzoHJuIBAQ4sM1F8p0o4NJW9XlLD48pJ6omfzly33k9jNj4r
j1y9ybWv0refeKCY1jNNwvs35E8pGYPjfsyRmO9nJ9XLIwy4pjwSKtOPx5rDMw3Srp8iHuuW8tFm
ZDprLz2JPEveXHhy6/0imsx97UPrCAy+s0gGNsIuJxFH0tXdbyvBXcbMPXbt4daSY3aqzAWGc2Fg
iBxmcpmwtGfxc8Kw6JWnK/teVI34mC273Cu3T8LEkMkhruPtpqoaqJuLdXIXr3gVAOuZH6guh7di
sxhMebplHL4J75R2FsEfnkrwU27Y8mICM2FOra8tMSYPFXF5B26LMlQubqRqMck82kxC0cB4/NMl
j8FiV+3FyOm+rIRga7km4mQM/gC/K2NjspUeWYHk1z0yaCHLIi2Mn0WSqHe7p9CuaJKi3kh75rAQ
jZcMQrgYVFhay/jH8FvrBIk/RqKOB6GEQJQ9AI1cnngiy3twL14nNeW/bb9klk6M06vrWhORSvQ7
zX5lfYyCgaQ/8iuXnL8WTEm+YQHxR0g28HywLwz9q1h0/+gUdSsfTa+azsMqKrRLxjyGkl4rajNS
xoatMJ9Wm+BReggtIl+kZdioAY2KaJjqQdv+Fk+29Zg2NYWIcBnaEKnG+8yr1yQ9S0xvK9/STiMh
MZBQbX19NWrjza2MLxtp5zfdGO1LPeJOISQ3u1e19URwZfZuGt10WyE2f7OXYnoxCCIA942bTpSA
F/Lxo6hV/ySFvXwYJG6EOUKUi11nXjC68fjBsfJBqpp9XY17fTDr4pEcMOtSlb15LBMSBBKSFoJY
TsWfaYr7QzvjUu70lNGqmJwOCKwiesMMuFNjDQTEuI48lW7fHqfO2z510nbrblg367e2Deqx/h4M
UFInX2DmJHtA6sxl7xGyPZGcYM9GC8TFXRpRjR5HE9Yy3SjmPmo4drY7nps5hgCnhPiQPkEDDDQn
vDRtpsUzw9bsAmfShm055HxVdznUjVmckrG0nxq37UPt+2IPfZW0B8FII6/+wsk5qIU7oyS29kgZ
DbZvtZ12F+dQPuM7Gq1VTI2Vl3x6afoHldKXx7Q1ID3ikMXiAN09C1pi1Y5NW38VRJYAqTKOVdaV
O02gB4AMB7rTBNwueZhdrKEjxw7u3v1SshgyxIr3OElDXtlgFM5+ylxxKqfmde1FhGIocM0pjVYY
Y4Gcs7spMqYKnBcWWd7IuEf35i6xjGgz23NpO9GYrw9Oy/R7FYqNEF8y6r0lPzhDgh652TKayXHM
f7jN2h0MyLpX0ErFq8X+65us6BjvOXc7RfTz8b9ud0R7x+o+dCHa/jTS1LnSApvYsJPiWPVZ//aP
nvH/dVT9/0deEIH9+j9pOv+X4Kv/Vv1Ju5//5X+TfPU/fuX/DL6iy/DZu0mMkKiIUbXOX/2AFUP9
y0XvZyvUjB6GEYkY8D/MIML/l1Ao1hEcuRSJqA//A3EjrH8pCyI6AdgSe4X5f5VDL/4dcHP/LQT6
Rh8nAhrHf9cQYwMxJjHmID/HZO5f4dt63zbXqGh6ARTeHAo+0kJIAcLHt9QHxxxy9iuJ/D/oHi3L
vUs3/7Mclz8G0gXftSWSfyTG/+YWMeWkiATx4T8BdngvPBClsfLj05Roi8FM5j8sSjHlJ2UvpiwC
Oh15qEKQ5C0y4l9lB4Mx5bEuUv1DpniiqxR8B5V0BpggieWTOazxabN6a7/6/viYolpihN9KYkFb
w3pO+469H5jyE4r1jhR4YyMqOykRNHQFnbl0iZlMAD2m5jh/YOpwCSFUzAlyuvKLQngCjtJiVpvz
/6+7eWQgAhMU7r2BEIvMxkcyro0IQgO78Y2m5acpzfIqbUZ9mPPLkc7MbC+LGoiNX5dftj1sfwjs
lt/Y3/nHerW5v4q5f8rKAnYeS/mM+JS5/jW4Xn8iEbe7pc4gzmYtLKxy3nhX2gxPCUg5hoKkjhIw
eS5ZRi24NXd6VMnbCpay3eXO2lNlCvUhRvxttTKtt3RmwD02hX2iqMJlyPXHTisxDvwvJludGNf/
nHZRjz79ITHs+UQ+hWCgXALrTFbyftrxsg4GUj0EJmFDgRC6Y2sVwcgRdCCIQYbx4JBlQrXzTeIz
2fvZ3ViSsMksq1l+sKCJw44NDcAK04ya3t74aO0TpEc2PsqYr4lGNDXOi/GdcMHpkBMTH7EuNwkO
gsOINzkPbICWf1qds2DGrfjsaI+0s1gZ43VudHfOEtvZCwV8eKFvTNuITJ+L12LvTRZDHSbTvbHR
B5xj4jcNNjC+lq4sNLAI1N2CIOrCXgeIRarZO+laRnBm9lW8YeLJYUpwc5djpnaMQWk6x77az7rL
IqCv6b4ZuvaxKYrhg6X0wGHMOG9LSGtbYdH8crd2Cb2pWh+1RHPmzzxPGY/VwbmH/DR2r+9/p/4k
HbJLYrWT75sFBpPraFqviQNJpUxr8WwutoBFOS03cMkbVzxM2Hlr6O/86pbd106pHrdjg577uSyl
Opalsz07ABjDdgO4om0C2Ca14T1eM6YijNRCGwdjWDH1RjoCClmmLWqOihBYfMdNVM9N815WBJb5
GS1hVRZpWPn6r006ZAj0Un+LHbaULngeKm6++pi2KpoWf3tY8Audajl4x6pKrNCuSCOHoODeQUO+
j4vG9FjvxM2+SwiP74iGCIF7m8vRlewHUKp25LDYcoKZpxTvGlz+vdEsro1/Z8VmSxVxXu9QltFe
1C3rDftlYnlhVv3j0mzb0Z/qu5zZQRlfEgnrTEpcEy+9+RwyIdaQmzlqWiOyoaHxsGMRdvabbiv9
q5OFmhNldSD8LX5YxQxt27UBiHLqR/ZYqjPwuuZasZA5bdUkubdddaN7NIm+kPFLUhFHYTVedlY5
TiPgEOPvzinbF05mj2qs7n5YLS01kT8ojBOlU/h240gylZOo4gTUEqyA7Ch63HFcj3JjBbxPkxx4
c9+05L+lBZMJZAwNyjhzxkyNJek6zg0ua8KWDoikbHBKHlTIGDZEQDqgO+yt1rRZRY8TYT/CxkdN
zPG7jT3pBqaMnHhL+jV7irTk5+zDRpCfWnjjs2HVCgWn2XfvPStseJhxclNDp89cfoiR7XQ9cKat
xx5fx3ledfpJ2B+8WS+h1NTpRCjhYvv3OIC5YhbA5NV+SJtCnl3HiR0yf/2vlTotwX5TteE8DtXZ
K3v54WT+XeBbawd7oc3k03PVsaKK3HakuTd/s7pYGxIKuuGv2+M/jqk1PzTSrKhR9a1Kje9wNXpU
LCYIbqGYuVUZJmMSmDESYvIZeP8357N0C0WBlSb1h6O78uTnK7+BObuneKYsX7VGVGXdY5IMplfY
Jtq4fALKidZex7OznFS+Tv5Do2NRfLFH6ccXeOHOKy2BvRyGxmh+gupafsaxVb3XZWpgllKIFeKa
CzoUbOx4e7f5rcmdzuCSip33ZJo+CpZbF4Jxlxjh4doFSs3kLsohw8ed2bMdqPvznzSd/VItnsbY
QcoOwKdV/RWrJV+4CnvvNLt5mT8PINju3IDsdexaSgJBnPfeRkMhHxlotn8T3SNQTzNXfYcZaf8m
5G49MaOWBHNN6oIfw/vytSuQhltmHhmeQKCYO9CssXm1r1bKKry62zOLgkzaSTCDdnqjVRDsVUvu
pGpfHE7rVxbFbZRXQLySPrEY4RepB3ve8ZYrjnI7YrKVhC5z2sPsxC6gktklz9csvVuPPjQ/TwUB
NZN3ya0cvZNDBtkd5tQEKHxa83vtd9nnLPORuWSTMdQBBDTYYVaP8odCUFPdclCSdThkFeENKNrN
sBR3lQddtngWaFc5bg0mXrOcP8quEW+2MduvKJr02Re9PFj2Ut9ivIBvgKFTFOR9wUp44ktQa835
3q461gYLk9O2toaLcHHwU6UZKJLxpgvkmEE1b/WXmy3WwSPQYA1Iv5veQDOg/i3ytgJDWhXL452m
M4SYeBnAb+mkgaxq3AO5uFNmyAoDTbr8Sl1UdTUD5u8JuqErnFYd0BEwXtOOHSCoIchn4v7U9CwG
2tkTg5DtNg737Vvr9yxtTW1Qi3nHZcnxDFe60ETe4VsdlgtSc4Og0nIeLZSTyzaf+zpPz5Qz9X61
BImClA3qm9OP6RJ4Dff7kaZaPBUt8QYzBshdsdHoBnlndy/8qoPMQV91492QpCVwahKkL0RCrwTc
YSjdV33XfzSxYvuYy5VBjDUcIJsmXEe2f6haJlm1cMsjlOTkNrEYOwwOz6gDfPdBGXcrZtJlaLx2
jfOVmqd7lhvUpZ+xJDrMLs6W+9FBtrGCcsL34SxG/4v6sj4MQjbo/lCCfjfStX0qO7SXdhGXBbpq
5T3WBpflcTXv5KK+8I+eUeT7pLhrmWLpRDmjkSOqWY8oN3aVj3XGYevJUWDiZL+2xKZYn1iDW2im
6k1ela8naISpgWGaWMZLhhTrGxwX9mR3aArr0fKUw3FACZDafciIcf2aGLa6QVKjXPIG4FAA1uFI
+nnvkmRn2sTZMjcHNlRrclTDperNPGbkDHaPgRn7A69fMqTODVlvpNYnkVxm57TVXXNQbB8fKnc0
H3OmvRb1bfG+wPa2zmw4DLDywo0jn8FkGeUwte9eUKbsYpMRH3kOFKuuCOWs+DWCZH1yZqunru5X
85XTJpU8uOPY7NMlI6B0iEM9xdO5SHzsCN6BKPoypOhpjklc0YZLMCdkNBo/tzkeQMKpwTh7ef6z
tQ3/hiQY+BMji/JrrNzkhi5KcvsT0rjrFofuYYQMB47DrK4uOmnkPJP5zvbAf+KCQ85kzpC6mewj
MLDGA342ngkov39lqcCjCdu9LTK7qwnc8S5jdwWnaGO8GwqdIQ6dGA2+31TmkeEvI0y2LC/4gZz7
LsqyHzuS34PM35afhPzEzyun+NFKYI9hMaYsE4wJxrL/6hxyBVUCi9BFWMTNmcQUnZtgETmjzqIo
AL59sfkJhflauOHESgvbjOuEiosGuXabhzqL3eualum7GLvH1lLDoS/q/ojLul/41NvwcNf4XFTR
uRwkVjlGNT3G3md1eUJjvD47C5slp6ywe5RvytJf2NFvuH9wWZBKD6C3ILEBkRzYbo+bCZF27boE
dwCFv5Vtq39Pazfeaqqv3UAV8JBuRRoxiZnPrvhVsOgZhsHBJ1JAu1hWqE9OSi/FLniFYHQQXEhg
vv/xd2RJEqlsXAM28rs6PS2ZPKereuiq5FJsmbombiIuCFi7XYFjkc1II0kSFBPMKAjm3twmYtdP
850LRhENRxrU6dqw6iyyPYrn4jlZqWjjjh21N4zOsyO0d57MZgoHMrfwJxM1yf4nv4wrSPmdXXeC
EhQvGo+hDFzkaaGxIGOA7hbFpVLkoWVn5EkoM+f7Tu1oujBDpjWYK4mUBWUreBpBkLAFBbazpLkn
FpUBz1bX40m4WhxylvuoZ1H/BLronP22LRGMy6g1qSE2Z4I2acGvxKFS3lFJnH8kcLyLGLcU5obV
COHQG5c0af0PUzYgZeJVfEes6gR+m5TnZtnGvSDq8loiDArl7E/sMXLrh2d79neGec0LFXAOjD1D
aVnFd41qY7yIaZQvxdYWnJUSBz+7S2h5OCiuxO5soUnR9hsDFS20aMjAcob6D3G0Elk/sVctyUg6
lvvVjH+ZUPBKew1IcpOYQ4xvbT4aF2ud1K6ZiSMx1tI9Ldbow2+f/dd7lNO+StocLSwF7ORWdtjb
wmO33zyYKaBdwPV7hbA1tR26SFO/5NNSUCdU3U+hKrL+DAj9Di3+qbetCOy5cTbtDMKbmIfH+0j7
7PrFiyS4V3oY7i2ne6yt7625XEeISxuTXmtQn0U63yo0MpBal1fPzw8os+HSdlFciPu1pPD9iPts
V3egtPwPrRGITtnPjsFGUHYETSRelb7ky6gj1pQc7LNdPTjFbPEcIwT2veLiyZSgxsXZLsiXjdCV
Xhnpwjs6kCmDIk/LKDar7DQTjHu0p/HVtCtCHtaKTUhJg0dcW1vwcNTqZKLmiLZUF79tK78HGLlQ
FrO5Uvt85Iy0TAM8UG7v5VDC4PLJ56kLN77c3Y+hgSKRSTidPkaN3H3IiAXdeYu7x+IznbqyIHfD
PYkxvQhtRZutIWqJTL6hBB8eTMe137IcXdmuwxkYSmvlYiy01sTXxas3Bl4+ygM8vObdmP1yDzNy
PmwKSyLU+OaSQnZ6bVxCI6WJYhYApUeyIm6Z86Dbr2oBF6hhuYHy81DYcsCfzQb1GaqSAyOm5gTl
iFhBRup7q+jW62aBHlauZf62+XzshkZo7m61OADMvfY05Z73RPqmPMSQfmA4oPFM4HROUJAOTI8x
aMUmZx7JjwocHzw5ZGTW4q/PGiuvhXxNdYcBhv5xzqq7K8HkW4+IAbXm7Iczii10bax8UYc4e9Wo
Gc0AEsvJrq8JYtxlE18OXL0d1KczyF0ig/bA6p7WrDzpIfs1J+PXmnTEQJhNTSFutcj3pEraqBdI
abg2jWCWJbICyzBhWuqZeMcJVhTM1IibKyqEjAS4v9mZ9jMjYVQVOkLyxgvl6pDb9kvN1iOJwP6x
d7dIGuIiWUQC4l0P7TR9jtacoEey7eLUch28dsJcH+04/RxtwFNdbbzbmS9vOl+Gn4a0gR6gZqwK
yhaXBuJkt3RjlCjG6+Lb19rGNJEjz3PrRj20FioNBOcfHODJTpmtfLdRxjDkV+seYfW7duFj5srr
gq1LD9TQQdcAtqqHr9EEcDtxNe98F+EyunpG/1r9hex0Uml20rBK0ll/g8BKeSmR4bVTsmu5wA86
Js4ahXJZrR9GA1QDuCDM5TkmdLLEsvVKk02+tZNd83jKjr4YnuaupNSzs/Qp7e23vPbXACrmtAdf
R70Ih/IA5mUkZTs7LERKstyxSkZ5wnlcWJaTw0B6XQEOeA8tKrR6M1RdTegrUSr/nbzz6LUeybLr
XxE0FhPBIIOmoe7B9fZ5PyHe50gGvQ/y12vdrkZXqYAeaKCBIBSQQCHz5cvvXpoT++y99snNLhaw
t3pKU27H8nnQxc0te4rCDoNzN9D5EhqqgYcBH35lFy90kJoPbJknDXMTjBsL06I2B/AaZt/XKY2T
uZmrY9pj4IKezcrOTqiCx/P60Cxj/BVnNnWzvvPNkf/FafP19EC70mA3v3x0rpcp5fiHLy46JihD
29KMFwv79ar0vGXH1jI4uJI+lnIa7uMCuWUYqvrNAeB6oKN1iIlVB87Wrmu9Kvux3TT1DGPURzHj
2BDtsCJ5z/SQ0E0rFnOtFtegZUqvOXqeHjYtoZhNGZqLdQtc3Bh5fFEi3tcgkbe+9OdwheEpfR2V
ce+4zrZymC+zR25VRySz8S2ieh0XjZ2Nn+0+us61jiSk6WVx4LTzO/2fGOuhi4RYYiL9jAU52UMz
rvdtWGdvVKhhGVftw+DQu0OtGQ3AjRdtsBhj6uI9z5xMLQhEzxuKpX7yBDVGC3PCvPgurm/KXo5L
TdSvmaZPVY1s5HmKH6EsulcAcSTIxgQymyYNiBEi5js7TMYJLn5cs69GF6opidD8c5GDCJWUCQpV
o375SF1wvmlBon3CPBKNb8BA3vRwUAkTSqrZEe2I37G6ZNT7VeCJHXDh2y7V2DmsqCvppp9pLZqI
WH21eur3wHDVrmLSZKDKhk2BX3qTLqKllcVnTcZzYc5tPHP+GF9Gbz6XSltvkcQ/pGuOHtvOsu2X
UCnCmZJCXiwrVaEvpmMk86PaPuCpEGfWa5A12TTjqzCz59/5ZHbPUQwBjx9xtgLm54WzvHxLqdk7
sh6m3y+pGR2pG79MLQem0nLEI+nB+J4SPmffJK3eEzphALK9xt7GNKjSBlQX6sLGd9My/Dl2KNuV
RqW4hK2Sz0Mh41M+S/nCg7+8Hzwn2Y84b0r6rohiSrg5zc4IOqdIjdVsjpOm5tXHQhNmKks+1Qwo
YdUsk+/A43mxSvGVvEo7AKwGpceHXP2gm4qgvHF/R9DFfggqBxOSIU70K8rT4oUx5FOHKoO83z7K
oXuhbGvcjDfBa1imQ7/M9S5jdj4bI7hcFcJX4JXjwVhL+V0rkLFBDbeyjiOxHaueqwh5EMNZtjyI
YST0K/Kewluad3dLdqvZhum6lh701ptZrEp1fRdgDF/XjfH3fdK/jnNS8OG376ndNOs2LWjwlcq7
W/o4fZqtrvly44CuRhH5095Rg9usB9eh61FxsImjlyQJwyN+SMadoWK7OpxZ72seeEafZun/SRn/
Vw5p+w0cSsGTwJDXGocgfLHzgpdJh2WQUBEMJSD4D1QNPXgx7VmJz+Kedql6V/XyZ5kEXIwqda6m
YDZusc3hyput7xHyzzaqwq+wt4MDEV/CzipwQa3jMSpDPLSsiHJ9NKO0D7x1ORrLU8rU9KpzGx6A
zeWH/QvztgmsAwc7siVt/tinHtRgFlM7rGwXm0G9C4ioOguq5HbEkHME52DdjbeOa76Pl6T2+HUU
T29cqlhWELDHzSDBEpctf/i8Bq3v3FtLIy424BCMxArQY4Bzwc6yEGXIy859aZ5s2XJzttSW+5ja
TjKiTMn07pny6mfBTbQSatoBLAihiuYvgJrv5h6nMNFmcDE0L8JAzOjKWKthEQfin/1OMuHwLEQa
JR+N6Qg0NFmtc4iB70ZNaF0uZrhs3EA8kG2wt69zaHm/KuWjWlZJSKi5hTUQUgxbcRlu5qBmVz8v
WY11vNTXPumih3ZZlhOsxoCOmT5fZ/QZqth79MACgFMOvzGjn3MTXwLU7r2raH9qZ+cxZC46p8mw
bhvSbEX7Ng/6Q41gGOuuTtZN5UOofoQzkGwWFizPLQVPa2lV+ZNDSfq56Sp4jrGXvCmpPRJbEyON
6SBqUKuEG9CHbFu7Wz+orX0BOjweHg27pustt3vS3GvfhYnwwud+zdjdt2gvg+IOiEt1sQfJXqyh
znkbkMvBwxTA1m6PNqEgshtqSfdQppkGU6YFiFwzr5Mix4UqlCuQHD1MrU0R8jUGhXzDRQtj1R9q
dQxMXv6Af4s3uh5kdeFfqk84kl5xSu8RCOWu4vl2hTRHrbs1GuvnkjGY8T6cHtNpGY8xuY9b8rQX
HyptLTq/C+dCx4J6M2U+rg0aOwXoQ9Ld81zoMD/BFfnyTDj+TPyecx2iQTiyFMoytZy7EqYM6q07
vKm+I0tnGW5jUKHjDZACswIXjp5XNPkyZuaAmV/oJu+OiakWHletGD8n4avXIbGTcp/76FQlrqUS
JdN1K6ZBmd/Hijog8tS0462WGLcfH0nq0hoi/fSVVp72yDqKMa4cZLrjRO1irSqgsHhVTaDAl7jm
QuJFH9ovfyYYT/Dy9z85ltP9BfZcb0Qjf+YMfCzcFgSrlaWRRLpBBOdR4qJi/8f/cLCV3XX2qoSR
UqgPqKTcS/xt0V0tx+t+OLlM/XUno2pXD6P6pRnId8voescgir0rW1Zzh1cdz8bITrglu7Or01w9
DpTYcLf7N3ds4/PtDYnnHCwratk/JYACAtY+KF00hnfO+JtPZ9iVvYGGgGHsQL7zyTNQL7AC2+Va
47pb64g0em955hllLdnB+CFZRbJrHZDm68mueYAu5kXDOfI9k2x8yDs/qqrpRwADGEc6K8eU2WOO
kaiyBxCuzn1OaxgRkSgABIeNjMyNx1RJYBsAo8+Lz6QQWaw9/X8lBe/Bd4kFlNhFpB+48OEUW+Fw
BPgg7/GvfIcdit4qZaZdDdP46dY9ZSZu3OBNXx5w7eEPq4twNYiFrqpEzmuvLxZCuB91usk6LLeO
xOKcUtm3Ghr7NYbHQv623Ycp7sdyJEtoYjrqBo3x0BjbX0V5SxJYcerwl/bAKTDZ3TzKTzR886wf
vC8T9cm81SU1pSIc26sOEL8MEtiTi1k1xxuk3BeWTQsRbx09Am5Od6SKzGfU27/zBdEhCyP3vmzb
4q1MeXdUGfYvPwzTx2EKnf2oPHKKbdgklKTxYljWeonCc4osyakj08ATBtE/ESYoCjLiWNDXhRSY
UykNKzmWuvYmdngnq8xfR4tjns2c2YdUDePeNSEHtOq2VUuPFLyyOnWosLq9qX0OHluf6PC6xhBA
GKwRGI7qW0q4m1FTRjIgJFU3Op3GbaXqF05mTCm92+4DMvtXPelxV8ykA+dMfrF/i84MIrj0mSbX
RcOBZk4L76xws65HTVM7Du3xSuxZvfsWnRGxmHY6deZD1/f+Iavr9lwvdrrLaOl6SiY57lkyIHP2
9UT9K1NLQ3PEFD0no/EAyTf8UTRLQb8pyXpwPT7wqbrMB7TdgCfAOcV2je7sagEHsU5qssLlYvw/
81wW+Z7tC2dAtm4GGmNIFp0Klk2GlvoSL+5w7wz1g3XzGqPmXRvTe0c393W4Ep6qyIPEiHGNUAv/
QDsSXKnpaw0hYgIWJHk3eaxU/MoZfuVYB7DP59HBiWl9X1VdLfc2g8LZFeaQF3P/jZUQKEQ4WoTA
YlXSsFSkX7Ns9N4gIvDqYq++igubY5uJNvDsP4Srk33iplj6JzvBc+4i0yHusL8TG9fFOrdanMHb
TpnHSrG1x/O8AFYKmnL47GdnftAz70es3pgREw4GrVOd/VKR56s9AvUrdubM/82cpE99EzTIxbpz
cI/zhO4rijsyUiET12+h5leblNKvxSrSly5s/V9s4MKLGuCFD7f6B87b1P4FpCNow0ttkgPGqj4s
FrL3ld20dHmUNleFbW0EKJ2vKdSk6w3NkBLLp4cUzMzwEw2Uk4dsnPsYRNsWYxAwhqAEaOQ45gi1
KgQyZlxxjouUW1tTUThawMfL3vqMWtN+hcQnPQJlIyH61udtM2qlf0aIlRwT3Il0zGTrA54dEoHV
0LwjDH2myfJjMmHOa9xrXx2Z5Me0UdTp8jpNP2zOn+/9DCOAp5CYD1PLnM5ZgzCoFjeOFWeWTRym
xGkyUz4GM4Xr8GO8+x6E11bW+XRYCIyTZXGCfmeDgnF3ZU0cEOOujshVT721nnPwQ7cDToYssVv8
9pGNFwCDtIJ0AFvAHAiDhqwyrGBvNUY+Vq4YL77F5pWCFfcJk4e1XlD6Nwzt5iFXsXuQfR9/JH3p
vNIDDIHUwrXCtkdg5rBcUBzDTR+3sta+I9KC7iTaImDh1XdrmO6bKr11KADkG7cpJblwQuh4XdlT
vKHbVl4ocynXfSkx+ZSLJ+tNFfh6A+OQcJPf/dE2jQtQ4DEMdxo7Q5vly1Y69ouPtr9OhR3uPZ6m
4CXn4mLl8kHB7951MLVWknTa3dxS8bVKjfkx5k5DUCeYgkea+aaWIxI0CkGo4oklbfgMLtM8sMD2
fsggKc/WDG/ELcV40q1PhXIc5/SXVUnw7M5sGWen/8BB7JACGtrl6qQm2+Gkafe8SvG7UF59P8iC
wLmXXQwz10GHHcHHKXijHiYBJ4atd91gm3xt8Os8TKNRZiUGV7/RRsKOwAoWzE0pPWa1s1xbLoh1
meHwxfHpH7sk20PNIqdVpMiRURCctFJ3dZQVm8EpgkNJ7dERLYP4M8k87ggzncDjLo+LbtE3W98v
1lEwi4+obHF9OI7zbnnOE2SY19DU00PSgj3wI05xWQvirphUsimMfkzYE6a4oQ7Qa7l/wnCGsFuj
vOamvMsqjOLQ0o8O4+wjmFl0Aw5RF5IeuFQ5PDnX2g+rA7rfz6CrX1wxnyld2DCJqVPZFCxtRBAP
B02H2UfSNv6uy4sQ0pVbvNqDz4OrZyd9LHV5sitvOKMJ4AlxldmktmzecgJA16Ajnc0xGbh7y6Ia
46pHdzF+pWbdeEAT4ibWB2ml2DpuMY5CNPVuIqJNDG+YpcDVf0sYuCJ/5DE9EndxM7PlzVHt2EmK
8yDH33Vro/V0sTpE6YS0R266vuO5pdb4v2YqQoTLdjo2L2Mfm7ugjKbDLUHxhMUy3y5k2O7j0C6f
GoaLpwlUHjm8ov6c85Hi8WQw49kUolsnoR388ehueBs7MhMJuMsCRTpqMu78hcbuVIXvJTHVDbA+
VIMEtmRGAINiFZhDelLVsUh8SSOXl945ZYdQviS3CNnk9A9oA8nPfGKfDIaHylUHIRK7g+2dZ69z
P+xsMjzPlg7V0KjzsMxhC6jf5Pi2UvYJyg1/NlHonhhU4p+IhMwQ+iZFOY1+TDmEQ7lpBxq9+4+b
FPQuIlxZq7AS/ecSefINdSP9xJ+23KNtONs4JAq2tKH+nViu/TRTOHbEg52/RJqiGNYCHO8Bt4Ds
rP1nJWyxT4aGnu/AS57GmPU5VKohP/WJzv5UtjM+l7xeWczM0T0pAkWmlIK1Q9FTKW3pKDoNBHR3
DcXTDofnUjzk+Tx9IrN4V1ZW+TYg751xybvdPRsD97kYOIBb1Zw9Z5X1Q3dtsPNa3p9DHp0oxaVS
11HtfdwY+1uVI7Jixj1DSqgnlOenFsaglsKMZiHHR8HUCnlmfCKmxAAop6Hd5CV4qKVFyABjPZGD
k/YfqYPojEOHwoXaoqAaav+QPHgMBzuWcdB7SHHsp7YpuGw56nN0Ri1gGyWfpqqLnnQYVrSIMHuV
NAfydmXmUZylef06h7YA06ymJDt3WW5evQkw29zXLJ6snNCEZKwlCjdk76GuZ8RoPP0fowujYxXm
ekJ2QN9e8NXwiEqtbOcLGrc66S3fZZ16+wAY0LrrC2cdcuRch5pudrY78zNqWH9QimThtNy091oM
3R/MNfM6qGL1vBDLP460BsPOI/nEoSs81dnkoWmwieFWBW/nFuT4x85HV5g9eoSx5aVclmywycNQ
APNIQXqPM64fd0MYUbAXgiQN4hSrPKub5240NSfmTh2EC9V53QX2pDhUUmG8WB69hBDrXrOEz8Bz
O2eX5l51rMYpumv10N4TjcxopOa/P14wCq5IIQR85PZvHjjWdYzmrt96uRUAkMtznkH/A6+Y1lrm
8w4ejSIOHVS/VVNFIEKi/DPv55gVCpbhVy9n/6FwXz2MZaS/srAb75TD0gWdFjNsNkIbTFxd/n9f
iuCEEvj7f92IAIPuu/3HPoS//cB/+N+DvxzhKCVYsf27AR4Q8t/874HzF4dvGgJwtCtH8cb+T/+7
9P9SUrDesZFrbwjevzvgpfvXDXkdhJBZFAzy/zMLfOD9s/NciiBwWEuD4QctLBR/0n+ECjejl3e4
VJ19Hdnui47dZTPMsNUMkuyGFdOwH5viM8kKg+AWBJ8poB9q09TAjcNf3H2JYfCaVG72TsFGisty
8a52WPrR0Sw9ENxOtkQz09bz3uUyMbNOZe5doozt6yrrWRlk4eztY5Zu7yGe2z9L5ffvCRVy6E6O
7O893zIPvL+B8HbCoucF2iubPHky7Sifhm5qzm5XVqfZ7hgdbsSOeGRI39jU6TB8wLQ4132nzzoP
nY4uAbd8ydJoEccsdS0aHPlFa+XSI4mqOHrrhJTKq4EBuS+Upc5eWI1fTVpznNVWkJGX8WfoiyYQ
r5GaJ+Q+2JZn7VRs9fApscSN80X+CuOIRKeXUCDadibe4e/P7hapW3eluyG9iEL7LoIR0DjOvkXI
73baR6uushBZnHh7mLp6NxZ+eQX0mFHfg8SVrSQ1t7zm+3n4g6ZmPUX4580qT6Ppu7ZVwaMLZl2G
wWVu7hJzM+U3IijqXeS7nDniBLNHBz/j6PEaR3xipceCm/kHQ4qDEORXF0d16gg5hsNm4QpnV3DM
PMhBIdMa50/S3xyvXsI6BH+z2x60BZJ6VYWCyJPpBd9uMoRU0C8Bx8aOFyeHfBoe5l7Uu863ec1W
wt+NjtP+mvscqoGGJb0f8Hv8rDPS9nY/eieOAfFZJR3I7WCWrxNGiys4Ha14Pgs6hFUttLU17AlZ
brqcPdY0FaoTE/Z8QLgKefuXwLNUxipBVW5xmsfSv7ilnk6q78UjlCT/7Ghr2toehkcU7pyGPtU/
u8JNpkNFoOgxBahLnhZ3imRHi2oh8DHe15gj05WfBf0VHBrdUg0LV8rQ4H5D+xiOQ7fIYlVOfKQQ
WZCjbCtkcomHif61cDQX0EfPhViirxCcxcnK3Bt4BlXCt+b8EMtW8jFVdnjHlFNRbEeYj2PwCI1p
XXYBebws1LzQvYpd9c6OJnS2oFucY4eHkTnGoxg9ncf2yapYVwazBpWZWhtA6181plsiJVWxQTmz
3hq3NSg81UmYgVLmIao2anbvewgthijPjlYibLet+x5R6lcMsqNJ029JoPjJxRXBhJTQ/MQR2twV
XvvctPWfMO2I5jrZNg+HflXXuH8XapQhfG18PDhrG9IRUpjHRsYbivsITAyhf5/T9G6SMis3DZ4n
bImGzF3VLXsjZr+nxJFxr/Wa9SQcRFy3SDBpLX1xQfLyttyG42sZuuXVEkmOtgBTNXfhgTz2Hm5u
eI95CxtLWPQbxpYJvgbMEZz9g95COe7j5CcyuxAbniYYAmkY6UPaw0yS7J2BD4fFSk5xJ6IL/5H8
EH6Myol77GzORMJ5Uj198lPgZ79Spxx2g62t3S3hwmXRw4sulLsXo0vxa9zQMgz8cT1OeBeLGBM5
tfBR9Orz0d7C/TSd1CrbBfhQQO0iNqUrkSMxQo8eAM7qBUhvKp4D3cIsshvsEDJtx3MhJd4kP8oe
IhlEO6Gr9A80AqYEnEXolUsv5t3EgL0lfDMZ3LtAHEtnHD7JgotDk3kTLrMlSw9zBH92qLIYb1/n
y2tLfc3KyUiJ4phqP1wJQSVqZzba0RTvirrqtzkt088it9sPKx+yk180c7ORRJo5t4PJ4fPvHrRm
RQfXxR1+xMj1zNzhYYnVmVGWnlmR5R+tjDsOa+YwLJn1PNRjRugmyJ7mtME634nlXlpZsQ/K0nlo
yksNb6cYR5CwPckmclbjKy0HN/rYRM6ITpYGmnBt3YmuFPXZ4Wq6n8DSXthZ63GdDaF9cqf8MwrD
/pP+meytSYfqysecPRbZ4n71WBRoeUPlYouNDeA+Ttix0yzhUl8VL2S8B3zSE/bSdYfpBefXAsd5
gsW/hdlxzufFXSdQKZqVNS7n1iK8zXjLV7dMWb7Ll2J5juB4tGv8pdl7gL9/O9cwrYrEdU5+foNV
DflSrwll6l9UlWOIGwe+pMJS6TOdWlxlt9/tg+l56MtU7sgBzQcJU++nPdGx7EUxjz52MPPaKfMS
vpdteoAfnHMuRKlvAII432O82qNvNjub4NOO3db0lIQdFbq9FVf7ACT+MVzmeE9Nb71Ooyh/t8ph
ecVHLC8LofRsBRhDnuCnNZS5JI59jIXzCz9rthH2lP1QCWTw7YKx4NWw0YQMyehRbsKm9S9QafRV
Bt0crDqerfi9vp0OSxc+V32Hrz++dzjusltdohhRYgqzr4nnqV7DaXCs7RyX1SMjst0fpyZdXira
65HnqmI4ia71yF1k46vRYEkgIi/7NOoAw8XsBPywi3/7Qx/vYM+y/p4lQubcuXgZ3Ck0zNiOfEOR
mV44eUzfkfFTHrpy1D4AElG6K1+r+tWfdf47d3KiXA4FlVSeanKsvf2ZaCm9Q6vRBSF/3Xh94c5Q
cMypj83nggL3EUbxj5uxjFsrgOQWYlOVOI1GKz6Ujf0sFr7nWVfTaW6iOxazzQpSoSaFMoHx5cwk
n7OWm+QwhKk6m1J7zyPKzcrqBrnXZdgT3dMMHciC3Y+a/nUMrXxRs2yPsrbUHqzjTMkBoRd4PTqn
ckBOj3HENT3MgldrgXscCPr0SrtJvrNx5K2D0qaZyHfNa1Yv1sbL4E1leUk5W5ezaKyU9YIrbmtc
Gn1bIYNHsBDFXYtpa0XduH6351kex7YYtu0IIaJsdYYJoyu3MePWwfhl+OE54OYj26t+jZ00O3Sd
CZ6a583P7c3xSTiTwUR2B0DNCdyQgQDNmDRfIQz+s0Gt+eOzE1jXkYKoCRupwIp/KmVj/5hL8uQs
9QIZrc3Ysb+fRys950UEwiBE+vgTRWK6LGwB0o0pLO8OswoPEpSXH9TJSbxrXXCOI6vfA8BKH7yZ
OcomY7/ze1qPFu3XVxKDt7g0gBY7AivedOZX4S2EFOvmbgicHjMYVZ+zbTEOkEXHLYFoh/eCBoJh
ujB0phsdlu59PkqMjTWP9UpYLnvmDM9sepn75Efozr9qOMpYxLpdUfUV3Tpx6j9VdY2Pq6kF8N3G
As00FrQ0sM14KWBP4NSZTZmuxTQAM1Nhs5x9r592JPasp0DMjvicAEn6J3LxhMg8yHM78qruH4as
CnYXNrQ3XlLN3kysjHw1xc0JNDCzXxtk4S/MDLaNtsDbqHNHvES58jfuMixX0VkgNrR6YpicTzT9
JStHdNhy2jRkmrvZu4JC0y5LRzYFjhMr7pcc5MKh6Dgflzmu/anXZ0fV3h1PhH6rmri4eLEc21VB
9u0DL6FzkQWYnDVz5nLX9sEtqS4a/zNnsn6GxtFeuF/VwOzVz7u2mcfHzGrAQc0++3rXstFPaq9c
5DZiwt2gydgtu+4yf15IQ+LkJBv2yc65uDhdhtcAi6e6c6Deb7KsQW5iWC0kAFGvesBuQlNhV3QR
jQBE3El8NfRSbeNFUPGbQWV6F1kCVrYGtL5KhGudYp8Rg/ziscry4m4E8Zlv+q64ytHzHyHZuQ4D
mMNuVmMc+kVJlv0DskBAHiLzP9k7D8cAWMqwYiuKI7aIkyxBywcAgFk9cMJNOZgSHwPbM+JeU/BC
d3LSAx9q562hIYwC4CrYuY3aQ7YFr1HVCOkWmuB61pSI89T6RvCAC0YNAeZwN9nnAXZ8k4Kqk/ED
hUEA48b4EJUVlFAdEYJBsxZ1cgsk3S00BtE9WRebnGDns5ha8MisJfYR9eKbTETOGnTP3rodMVCK
D3wQy3qiRRraBS7RDLN/+UdgNNuksXWQniHHnDFwc0TOVil5501YJe9hO2HbS+KXHhwxELv41WLs
WHEcxCqi+3tO52CDp+Dq3KgpBUZfJ8UjxmHkBwVbl0xpeDCKvs4w5d0g4q++kucYZ8hKda3c9IPv
bZYJtGpWJf3Rz26F8hNAJeVFC1UnEK2xp/XrDG2QEmiSZF44QRfN212Ry43IzXcxQmsZkkPPCnUD
ivR+QWV+mKBfw+gTC/lb2gxqJ4JYAgsK0+zc0nERSuekyy5+iuogA1CH8BtTcrJtxDDcMEg3Zawm
PwzkL2MohZexN7YiSAGiCYRans0O+vAQkLcFMH7xcJfAZcj5fIOWrBlkHuKhjjseXMuP3gZbDh8w
Ili5JEnOgUX3uNNMB/Rus8hxfMyFLpKtF9fhW+4W5psNZXTuvGVShxb+CgON+oinmmBeb6mQhObC
AQdfuZ0+UQNt8HA4znKojTArXhziPS67/LkXcT2trNb1xJ4qlO7k+37PDBrAVCImUL8DKnt2Zi5F
0QcvfZ+pMw+YbFWkdXAwefNNgtcBsIaA1xsNdqcLsV6L8becB0rim0gEd/HgBAfOWMBOElHnn3MQ
eDf1r4FfTNnJF3dWSpNfDbi/KJJ94Rlvb2Ze1Yr821EmYYy5VJpDH6ASrILEDrepbOuzTbNvzVNI
TG8xyJ1PahnSfQoqpdwWfue/Bgwu4E28gjrdiCjV8f8KYOLKqopmsD/9/14v+m//86f5l58VZAyC
Vf2//b+EoXDUrcryv5bfDt/t/F1+/6MAZ//tZ/6mwPmIaaEvhO8rG65XcCsd/Q8CBUWlnuMJYfMr
qBUVf1fgHPFXgPTmURbq+8Qm/oFBgTjn0UANb0Wivt3+zr9/uH9vkqPKlQ/77///v8HEfKjSsu/+
9b9D1vkn9AMErxBXpuK3iAACxD8JcJktE5ll+In0aAX3PpZWTNrwZndELzU56n74VMQGjyU+5GwV
NhFDMx4a8pzNeEACC4+a7pbn0OXfQThEh28Vs8eHnEr/blmE+5qqqLtOLKuhDzv6R5VaDt6e2BxL
/nrwCoXwHYiQlzK8M/dXZhbM3F0z9HdED+UL1ETulNQqSrwKNUfDwMtfZG5PG1pW5ek2/j90jZMx
RuLz7hOvwLNFeglqmX4rAgXJ2AqiN94R+qp1sUsRg4gNAK8ClsutNVJjpnVPw7GP/K2yQK4dzZGi
yoNorWJFp28JIR8LjVPu046oi2syuuGbIds6gQGu1YNYHtm03w12EG5Q6DdBomAkpZ64MN/XV7jd
1snkwoVRl4x3LoC03Qho8XnsRX+tel7Z2vdKgmJud4zzziZZ24xPecnznwgH+5acjVY2qLuIMsc7
rzHjvjFD+Gm35Edpfh95r0u2QLLJ7vPcaQ/qNjn0bT2v8qFfvsMC9hoTMd7OvBqAvt3IQoufU//d
o2+4QCeirP5Tln1NFxh4hHRtiozlUW/it36Mp485ibqXMBqi3zY9cAAdA4zXEDvozVzPAm/ZkaUb
rT0pcPIbmNSlvZxBCwlr8c2XnpuJtFnkpg9lQMlNGhTmHFqJ2bY1C25mtwXAfjWE4WamxAVYp+VY
wdrCaVvh21tINI5DQVrasJwcbfaZoiJY0YJ3vdDyY6HEqOYZdnm+cRt6VcDg/sFxXT4uSV+dMNk5
1wzDCUGksn832ou3XRAO7/6o0zdG3njTNdaT9HR91uMk/+CDV6uC9RK95EODyVbHs3mUUv9KkuCL
ZU90rdsFjwkJnTMdYWozTJikV72uKLCKeof3pe9DPR0paXxKKqqqCDnPJzbg/j3lN3tatV4NySm4
dn48XkbAJ99tN7CwAmp+iNOAYNdcZxAC862MTXSorA47hrM43uMUUls/9dMM2ckzpyZO1GfitB5I
hmW0PqhGSd/iOs+OZTZNX3QQiO8pwgufcMLaVF0QnCen6TZpCObdU4+psZsnZzTFOhzy8ZtVZ/Om
DC7tthqcz3qs4+MyjM4M2imCN15x8r+6Bcot9YRNfRd3KvQ437vxmQoo1vJ+W98rk3IICer6PQKj
wyKxEMOBxlH4dgIS3U5HOQgAMWtkCBaj5LjseJ3xdLhnU8GLzyRAQhNR3EIm0p7eKA72T5ynZ0i1
VnWFv4sI3Gt5n2JBvNblYG8xVrenbvRbe4XNghohr669awZnf9xGxDR+E1G2fwfeTHjFU80Vkhi5
DpoXFpu8Ft6ukfBBQ4qsQ5hkgTy9pm1SNnsMqCKnDn7I/E04UzlYEFaE9uBodW6c23w1QJW4SsK5
2yqH7zREDc9BdghCbWq3DAIq2aFE9o4P+Au4T3DXo6BhROJR/Om7coGJYryZ6V61+JPmJbaizZgj
7uFt8UhXtazlLhhCSUC5CcFxDowYa62x/AVh2DNM37H8cltl1Kqsu+TTUDHiUpKWsVn2Qfyhx+dy
8D9nQNMTAr0TvNqCI0XW2NNHI+RSnlJ0IAD77IKP1iRUue9htdhrDvrWj7j6X+ydx3LsStpd30Vj
oQPeDDQp71l0RTNB0MLbRCIBPP2/cLpDcbuj1ZLm//Cac0gWgczP7L02oV+sWmrvVbKb8NdB7gMu
nXsCqxrnQ1uFIwcj47VkqaGp3qAlGOXWN/W5fDYD7c2Nh9ykmkUCuGBLMgxn1/UKfYemsQa0jW/j
onJC5dYk/BJlTJQishShqbTdjszi2NiYTvUIFZKKSsE2xWEctuJTbycQ8FK6bow20DG7xzrWtaPX
TsUGT3fXAr2JGUunDWtaPUIkjQg2k28JzgbC7/Di0elLZeMyEbBfM6m5SCyEE6IIz42U6S1EE3pa
MuaYurh7w+iYgAsUMb+t5pYv6FMF9Dkx5kv2UQxPsqHJH5LMC1+QMYpzHti/ZKG0BJAEDzbuAvDU
qI7oFPLK3Ui9CA7SkcP7SIAfggzZu+82xqqZj5aNe92NsMsl5F9uI6P3HkIg3/41ykKo/qNdGJB9
SYnaBCmJXuvWi7ttlgedDfd+dBVtTpE+s9UYjnhPo5tuJ0QPyNwWK6pVXTHhaNWP4XOrWIEaOgIY
SBKNwSmctawX8Bxsg1ibrpDOXtNy3vuWF+G1Zir0hOw8O6rCI2gSzzQPYEU46bhlnNxvQyMyniWt
xzkrHCNaZZqeJuvSLdGZe8Am6Ax8YCS2sEtMtbDvFoLB34EY4uaFyXVh7xMUaQCXPZQ5Sxh/OZ4z
HS9JVvKL06wcOaGmC75Bp4/y70broSHgbZ0ukCp4YzpygF/gvckjZ6jxoRvd+MKuDs92aUMuCr0p
5ewtLXup+KsZ0FeDfAv48/eipx1axFkAS9dxtLcGyDyWWNZsRYlJz0DGtA2TMrhF00B0QR3k97Y1
RBj7BsRtcWcVZysnpXZRhXyyHLrdHaYoujZGEN2t7+2RfMLEqt61rKr3aCEY6DZWbT06CR5oPGSZ
9kkoF4QRH/osxkQi22yyOnxKBRYa+UcCqbvean1P3Ai6wAAVfFK1zTYFJvjaFS2jh1Ivf7wYCOWL
gZ2OCNFReQ8pDKVo4ykGFm2fohEmtSC7BrGBK6hDtAJ9KiIDJETaQNRSGt+rLmZYgZwMGIBKVmj7
8k9+V3Q70+DXNyU6boEe1LRtG9ND1sYAYTOwBu2CNcO8IiKa+V7zMkYVZqPptzqd3S+TtL1TD8kf
ZQdc1GjXJW0gsV6ZTAYy6UbdKoydjgSEjK+uPFMkSzOLw1cgXlgx4ZIDjsj5VAn6qW9SDO59p5KA
EI2E33valuKKkGg6T4POiar7tniQBh4x5UOlBDWrm4hbDDwtKkqKfTIb2EGRWM3S5objyXBGb6el
0tgYlSEBbvRZsk4nHcODZ8TYQ9M2vXPpdg30xaX5gduhumlNgEIdgb5+cduBTyTIs+ak6wOfUG3X
yc4YIv8jS3LrCyQb31aEovOGr1fx+cYjWnLbi77oDtHS5zK4YXirtvHUaBx+nXnJJis956NDyCvB
r9M2Vamz46YF5Vq4BiucImVHRYifCE4h1JDjYHfAXVmydAQEJbF4JxciRsdVCus3r4PiJ0QadHBC
LfpkBzBCuhZTcGIOfYl9S9+PcKLHxX83jWWXdOPTWP/8r//x8V0k5SoRXZt8df/UAKLW8szgP/aN
5wR2x0fx7//Y31vHwPobrZ+JnR827twC/r1vDMy/mR4ONpve0LfonIgp/ge5EHmGbc2ZJbqOscLw
HHCH/2AXmsbfAtuFhciBZ/BnSY7/l0bxPzWOxhyF/Bdk4BwFTVdmoQ7xDGNWp/2zcGNArVdivO93
hFkSNAEzd6sc8k/b1LhYrQj2Sdi/URAPCwcTtRm64TlyOGT+0mpf//71/tq/gov6N9+HiVjF8Twe
foY6//x9WEGkVUYV9js3E/kOdNLGtrINkCxXnuL4aINtcK9hMcPwGO2PsxkKlM85jWGBNq31JBuP
UJPdJG4Qvy29ZDPP8i1h3UqYob9SrnesDcz0qgdk5HT3I5gv0uSAhbONX+nyWYn0NDqsXEJwhIW4
Dtlwp7LwYFq1BGq7CUXxYhdYKNMa5KGTPcnEaiEoRB82zjAiDMgvAc811As9akHR8IVW6CpHm2Ib
D239ZI04TMMRho11pbCwZvFmTBA1tQhi3dilLUctiHMuAs08uCd0CcbGiaPlaJ4rrYIegwbcf9Gy
CRZ2+ti44iDYeJqWR/eMDSbDO+s1j8PgvPkILACpZJfAtlEJRz14M7vydwRzvnDYXQDTHtzB+ani
ZOfr75rQn0lgWESdd0Y6+OCGxtbsqrUxaCu26s2ChS/hJYFJakG2xtT6WeX9d9JYLvtWC7t/5v6a
gNv2wjHjfQHJgKWwbFY4T0g3VWfNlwIsIbt1ZdCWj+4joKh9qz8IovhckDordvyPzRBdDZprrO4p
nxZXI+ZyKOKrzlWHJrWeC5+hJJuNhSsem3L4JY5zPwj9bWJeNtY6976qmSUmm9FJjkjrnU0x0CyG
AKi84JnHCw/7hpBDVnXwQVYDiu9R7y9U6q8hkbc9CuOWrB4m5/IZDcDKML6rorgIvT8iNqfslNGq
Gia1MDrHWreMh+EWrYKhe09BeZt2Ny30IX9lQbqAf/icFLq+wDH5XTU49HGL0raxuDB1bV2k3Zfe
wUMPdcrUcTx0yMkBuS+dPn5JC+PJLl489iJ3KZKal34qEEPa9+HQ9/jnGI63bqT2tumuaAtwOQTo
0ctdF2evpLX8ZPRW43RXO8/CphUxGvZGZo0BuPPgbbEFrKP0xTZKtZOgkpH1XqeQS33ADes6m96x
7uzxvvXrswdoR7QxoXb2WBGDKnZSUg1KN752Q5izfut2hOmRxtMNziopnWznx9c+Mk4l9qs22IsS
zwwJLjM97prgnlhE4fBST0DmMveT1Jt1ioprkWlGe24Co+XNyXLInWyzhw7xa/Lp5P6mya4kQy1V
bdxDvyB70d7k+nRDkbRj4bVoO2QZwOBfNEyJiES3PBoe2HWz2Fvwohe9octl2LuXCgdHbHp3pTk9
J71JPBztVEIPs8zgMboTsWOjRcsx3FG2bJFyLEt2W8ee+HGIml9ub1+NMJ1fJ/MOpZIi5MW5S4KI
GIrgvcyafSKd7yoz9ohK70eg/gQJVMWGTSe5SOwIidNMN5U3wK5q0wfGqwhVQ/0usjxqa+PaYpDS
hc4nz4Q5wsPs18mZe0ut3NBCeMtWkQUpw3vXuYLpvAeC3yzGsn5K/HLbxyHTFicG0SPqT1JCV/bo
3gqwBi7/YmWmqP+Fk63GoUKX3pJL2N4x2X6TrCN3rIPAIXr+bVLjIwZacgyC8+B1xwpmEpF2TzpM
qMlq3oh4fzc73HpVeNJH+YZG/CUbvQJkAj8Hzt9Rq9jRjuvJS8yH0dYeAp+Phy4Hr0R5wH7IJiGj
OG6wbGH/a9Od56s9pf3ONK3thP7HQqUBGvPDjyi0FLBZkpnNcxPy5pezsdxo/B+qsNvgwDyoMnvd
MEGhg69R2ufgrS32o8Iod/4UfJiSyU8jcNIEHSxvdiZLM9WezcrCYz+iy23bSwfSpwnKz9HzmrVd
SKyohfhIGRP0vIcQ5dVbH4TXUvOfNLKA9b5Df4eBTqQe/MU2O5sVk5XI/mnAy+MsifKVkYjTxMeq
heE5m5dJGdZDu8LCObZFOif4+sDwIwffULi29OzIq7fvDOb/2DOvbd0jKIgjMr9T7WzTxi+TKPlu
q3orpvxB73IQWTDzRC63jcfzgDQp9gjidD289NYeGsRBCUWI5wGBAjRyP2HsREc8huzF4I1kzyFU
Laad22wkzpkgDFS/GZO4cNPF4bZu3VVdvceivGDEfelbYz/kAYh8+0jPsFM9MkCLBO6gh2zpQ2lJ
iJLK0o4+9hFVD7owGxw62VTdy1gwGFM5lB7BXskgv7m7M1W/yyaGYF6wTbowWzki3E1aPK2Gvn1y
w+6jzSQIIoazB7dF2tKunJw9Jcq3MjB3Kpc4wU/DZKErpHYmWvFem6wzE8VNXw+wHFJeec3xrs4Q
/9QYOLAFVp5+Fw+/BZB9FqUbdFDIDKzfLqyatSXTlcxxrpHa06vkF/THdxzZd5bbXSy33ZFG/qSP
aq0zg1g4bfDqp1Bi5G+HZBoz2XVicCqc9kI8DS9h9corcmtGSJv5e+9nbwgU3iOkEkjrT1KXdygM
Mek4HC9hfHY4tIhYuWf+efAUTlnWX2NdkCBVECmq5atRsz8Dr7n0MAGrYTwDWi9WXQqGLsCUT1yN
MuSHnORrnAbr3IEeYqRfU1t+Fn9CHM5+DXlogK7jYDdy4/osAAQWOQr5FKkY0vviYHEowNeyOZbl
RANckFEoWYoVW2Wdp9TfK8zITPV/er9fWzkiBwiiPM3d1h1WeY8rKs70czUPOfKgOUV2dt+i7ICc
+SDxIMcR0+Wie4vPZX4yxXNqZ4zctQ3hg5c6FTtDkXxp9cnNSzwQV2zTS8IOVHr1MCFKb5sPCCkL
8W0HwzEmnYYhgQvx62QXprGYW8qArKBI5EcQKEz+3RvWuM+gkeG6w5azIJns5jQauT5ZN0F4LRAS
ufa9mthUuzFCQaYocypblWwrAK6KVO6MbKasY1ZW2s6V1K23KB2/zFC+iD7fohcoFp7d3tpsBvWm
t9QjmQ8wDlGE24g0CnfCVkN4PAdvFvpLyykemhphRyig0QM8hqZmRudeOQGr5+EUBDzq4PwD9ZvH
5PMk910THFQRXMMuuUvFQUtGyI3ecngYJtg9YhMTFk5sJTxxsx3Q+MXcH8la0+WD5CpajWSR4EeZ
gmc2CS+R0h8SqXMe+NskQq+cbTvL2YGTBgFN7kIrT4Ne3PfGFdXOmiFNPyXvaCCZxZBYXknsB+mn
Ut0OuNEpqUEEYck7DAHpaapxf4PyFvNukv53UGSGpW21C2GgMYDdgCRJDOwZuf+EOHBDbt5HgqlX
1wO5cmZGkE/9IDXvJeuAgI7NrZmIYSMyVJpH+J1LfNWoNilJh9A9NIX7CLOnd9ZRNdpqCcC5CZgC
uUTnFMVzhJh3WbIDOARecZIYgCktxXTwwjI7175bfGlOHMAdn6p9GFpAfvU26F4xGVW3pptgz+Ap
XvZYHn7JMvOvQar7ONqs/rtXFWBzts5bx0npHSY3JJIRjbLpOwg9Uet/uWUe3/sW2lu9idgdcNiD
JTPB4FRe4IM7LYKHqbf4JLUufkfipXZ5UoNaTTWHcXcdkU8f+DhiYyQe69wqeWHzBH7dGO2I09N/
+JL+l5dP06dWuPoOe2q3DfXUeKzc1toY+Bbv/HhsD3qZFkdd89pH+j3qYwqzYdEzULlvisx68vmO
Wes33C1prBAbi5pkRjvaS200N9CfuOMmbViBuPP3UaOhlCj6PNgCJmrOZZVCiU1IbkTZMe21oBbz
qDw85K0Uh0B6PWwv/FhEWwZ87pVbnzsbqiPE9HPlI35bQJlOHyu/84ig1scvQkAa4lTdcBO54EXt
YareBgu7Y0payjONDu+PL6Li009diTDUcsiI7+P0zu475wmZQPyAsWG8FyqoL4ZqnYfeToc7hPDx
cbRvPXsfEGuY46dueAgrw37WbHvsCSYeicLxNbUZGnz19jTk92BBJAlHkwcDKe4IeU68XcHu8wgU
f/hEKlteUT9gSjM6QfKeke6LZKzpIRlIBRHS9xhD1sYYy2gbUdcvXKuG0IZ9YWGFJrlcdlpsgziq
t8XcYM9hPiOyH9avWU5kEslxzosloZjChC3e4dqbl3qQ1s4G7nrUINJyppCFW+TJtRreB7AfMPcJ
ke/y8c40R27Suhj7R8GTORqka42kAlYGgOpm+nJwEtDxCskOI+yfQs199kvib5rszcX9aDvFPsY7
j+QKSGWX7DR3ODbwWGGXumvHc5YahomVrUGfG7l/de9VabDexlRfkqrx7eZcZmb6AbqF9Cg8t8Td
YlVcw9JTXAw4H/GHQbi5+JGtb5mqvrCDeCLLd5+gr8htuWL0uIxTi+8Yf0h2MfX2ZhjA7mpNvE4T
A7uRIMI1yvan3u6fQ80ggx5+lMZJlMSEOQ3aPvLHOz+J+n0NBHnlaEjgirLHGDqZd1Dy0N7bgIeI
AWfJc0a/hQSd7XEmMA1Ik/0trJdSaOYK0JN8kTGBhpU4BjEa8sDfRHn5CwLj7xkf/8dlvTUHYPxl
6OLbcLpn3w29poPGVA/+Zeji+ikVk+MqBoYvtPnJcRrkcDeo2gSInI8H3S2by1BF0z3nU/ygEtd5
IjUuvWvJMGTqCFHm1c/64tP786pk81szzu+PM79J8fxOZfPb1czvmfHnjZvfPbyI2SO0RAYoFa8m
s1wDextv6zi/t/n8Bod/XuYhssRB5hlCs5B3fZzfesig9az1j9ZFMTXnArTalr0L4tAwCv19Gmbj
CqFneGX5Z27q+Wwx5lNmms+bKOTk0TvAro2trCfPGTmXDKSai4gw7Eck5+JRr0Rx9E23PdRTy4R4
ohsL5pPODB3OvPn0c+dz0JlPRBTGxo85n5Lt2CX7uIZhV7N7yv4cpnI+VzV4i2sUPxy2Mg/Ubsz8
+L2sqTNqfWSVk2bBOrbM7NZbMQ2DUhzfsEbdYzOq+N4OKuMLYeawRl6A9pxAevfPJQAAy9iq+WYQ
8x0RzrdFNd8baRKMv/p8l7TzrcI8p7oZ802DXIxLh99mtQe7E6yb+U7y59tJzPdU6OXgWIfqVM13
WDzfZgbXGmsVZu/+JKZvhoRHcrqCdtEAXrqpll0B2R7dLE7IzZfR8Rhq4QEY35AgR7w1lp9u6ogB
VMazuSbXgp1VQQGHbdFcWHihPZGXlxijFb59M76wH+bf582mpmnbuSj52Ce0XvhhF46sdpWvTzQ3
VWdsBA61dpV0f76iBdpl6RU+i5wh1LySh6mM46XAcXutUBZ/+I1pHouUQ2LrKp9+FZoflULRaaVa
eK6dfVp6fY9XH8FmzTaz2cQhQt2WbmEpGw3/dF+46Do6FFMgWLE6N81DTLe5U5r91rIBAlXQ00lM
1JXAg29jTsISW/51oIVPado85R2UrnkHuUJfUVyUXnZrn4b9hybmRfN152whV1iL2n7umbUDWTDR
xBBRygkb+wAPo/zBV6528nHQr7noBQC8LEHdjbPFxRB2iF33iRy6Jx/H/DFtggwuFmW2LPRDZBnA
//p4iDfu0M/qXTDXveUSAakzKzESpDCQ7PJmiqmKM7lmZXrCaKwTjsb/rngwlmx+Xx1pVIfSwUfF
os5eZhCCts2IEdboAwKlUAH6aJrJfSO+PIZ1t2GYylhFbz9yiQcpYKCouwNOO0M919Vwq7D0Pyqt
ph3z83hrS4l1JAKocorJql3lGfL9DpUO4mXDIGbUrTe+N7HTsnux6U3etcpnrgkUnQ4sIusVm/G7
KntvPxpZ8ppM5btj5FQQTt3CN/K7bRFY7ZbgUMljBRIAZzC+IYOYzK5mWzuGEylrWIsJlHZsbseg
oLSoddr5q9OMYKkQLdAU0/LHfljdqrDjNzzOG965HxBB/8Sfc/aRxWYTd5BlPwsf0kbVOSGq9YDo
E67dcxV630YtiqfMhNTiDxwoyJG+6WJ+U8t9ilnHLAcj8RamFtmXeg4/qdAM09jE3wK1PFZ6wdXe
CFIYp5KIgzH5RJr+ihOE+Phzh53f7Uw8v6V3nYyKjJys/HXF9DCiMKcUJm4CD3NuLTTfI6IHdvlF
tGa/spD704nQePSlz2VV2e3jrI55Zr8o6F6Nr6GCEeI06bPX5juj5eBi/6/ojOHauJERnyLPOo6e
YsNl8X4NLZdEpVEOMJC+9KEDdxZXXrNLur4iWkGLdxHUm9fUn5vMyBo305BB9hyEhx867frpPQSC
sbICO156UMKXtsPQi4VU/UGUi7WPNFc/xpBN9nmHDz1EJ3HtRVhe2UoNnyHnzxHkgbcb5oqqn2ur
Zq6yrLneUn8qr7kGM7XOQ6kAGSD8U51x4trP/lyytXPxJvnE/3uN9f+0xsJiSYnxH7SPSfHxFX/k
/zaF6+9/+B8iyOBvuu5jGMYPQx9hz5XNP0SQDvJIVJF0zLQWXjD/l38ssyzrb+y+4E94LvHJJnLI
/73MQh9ped5sQ2br6v35T/8fyyzT4m/6S2Hl2WzrjMDAuo/h2TJMe952fX08JGWEaNL4nyaNEkq0
OQAnDNn4eYL0KhFoqM/wsn7ZHRubVI+Dm2ocf+tqCrCmHXYrT6UcFG5jfqNGKXdoJ8wVgRJ3sgiK
rQ2a4R3wNBTIyeWeHLqs+WqwouL/aMQyV2N0AQ86PPhBrG0qWXIDQ4Vpv4MyHLdDLLwHjDOJWiMj
tr9CGJ82wwU33vRasRkDeYbyzABDhz0mldvtaYX36PLZaRgldPg6IDYHD0sdRPIVZHHwnWmutBCC
jeG21UK5sUqDMPo8zYfvKLHDdwJx5GESqcnrP3RbohTjnWMH4xaCSLkVQ0PQspkDy0v8O5y/aj2C
tt5VsW6smlGiIGpsVD2YUK/KpSkN0oG5MkFGI6S9kuHZFCb1cw9n/SdpEvfc6Zp1aHz5NAk9wJwt
/KvlNbYB4KZP+FSrEElCAiQKzm7beuswFoyAxyKdlxmEfaKbz14F7qEDOszuUGbmVxsW5NxkSXJK
YjDCieeLx7yu4701Cvh+CKqdRZR5yWfsEV1lhhFOqETYpwi+ymc9oAXgLHO0357UxHOBMue1QmBx
5hfOz+l0PfcGyDZHty8KVSsoGSZkEJFzlJS6/zvYuDSQI8H+zDHEHJqsZs3A+h8HDxEIRHZKBJIY
gnjgbT4orXxkHpXiy0OKT2iY/goaFV2Imze7ACbgqqZknNWjYlebSbNSpNgCfphTESLWk33v9DUp
ZFZKhHp481GKrRywPwBo8m7RC8QY3RRbbwNSwp00ffKkbK+Yw6dgHbY+2w8XlMuiNVUBE0dAyPLM
lYk0aF048Q8euRABUlk7F8Po070EPcMvXT/VnV6cVDUF3/hqo+ehN/BbYS64jYOZH/w4dJ8U8UBo
WAYGe36vSVYwunmPSFcvGSVogLi5qYqF3Upie7kGgjlOx5BRvZF1al4miwiCVLkDHvJcUi2ZPLWJ
HuTPuReYbAfdbtpoBZ9ZkBr6SmtL+T6RhXvUfL9meoi7GjqQvxmV3lK0YmS052QEJP410/pbVgO3
QZ/UL1qixp12TFfKyeItcMry2SBP7hLz03VLBwvlWg+BirGVS6MLtK/oak0ETXaxNfu5cBxEmK1b
fSsshT8j1MelhN9FZeuUXz4+uACHgNbsyCyzN8C+fFCn2XWS1ZcwhgOcdIb6ulqZeqdt2kqdix6A
t4+FB8gIZUWjrSKjNPc1FXG2NGNX+78E/806gX899aD2cE4bDiGE9p/d+l9OvdBLPcAqHAdo4sx4
QWwvjoOacKeYx7GsTyjV5rxtEsFE+ZqDNozX7CTbiw2YDgxbSBYXHYv6DYtYrtgl58eA4NFimWCa
PVWRVb5WDb4U4anEwo8R28W661qSAhA6ZQ/Bn/c5+/NuW/Aa7T0FMAhIMAvWQTks2peqt+w/643s
/S/X1L/RDXiz6v6ffnYDsy+zFttysGpz+fzLic9YDT18Fulbw4lwkDGeZdz1qPnDuz4zJo0qk0uH
SLyT10qC0DR+xyQBDexesZsDjNUipzXWzhRDCRqncECJ5ahVm+b9D4KniKpwGPdeo3Y20+bGmpph
acr23RfdhkVas3VKMES56RNEnHw1zVAtebaK6wBLfU/n36xyepJDYIj4YFL2Qp/JeqCPzBf3Zd9a
7lLP9A70dWYuQ0XWTe+CS3eCobhKTwXvFU7z97HX+w0Jv+WnWVjy4kRwGfIImHusDMY9nfJeK60N
925hhdexSPoH/tHbtJNMXlMmTIehV9MKs7K/ngrXoW2vp23FTuVk+mrcRzFO9oUitG4TdWb0SCpw
2i/UBBGBb1uho8/iTWYHxrZV7E8yLlkmlZnEGMMZuW5F2N46k+jCiD3cDaVasGpQ6v26OhPppMuy
I1ws8o5rJz2iPSRqWgrTuWmdwyJ18rVHSygTVB0RyxAf9OqHzKjh5kIfuDleVV7J/muvPnTVgz4V
xs4y7PgUNnq7Q4C/L6DWdn3sr7yq7SCWCfQgnjTQeSul7gdFni/cVjAjcW4kAAYxF+SjZIczNu2j
NHNmyOaEXovEx08bM9VTFdpVsAwJI+5SQr+6yWFz14mJnYxeq/METOTEfII8klgMxzLy3VMBGXqD
/is5zYMNVnLIfTatkY4EJZByvdTbvj55BPfeIYet711PeXgijWjcOQUuNQdf9bptCVQOcNFfpYqr
swv1ZMUSDk1hZNUHqImgnedTJG9CyhXqZgKf26ok05uwR0aRjcqLLc3YeRCE76a+pwCjglEbOarE
fGZFLqdXOJ9jFh0DMCJN+/XnE455HvifltRK1ZoLG+PeAo+Vs53+HIzyzyHJSWFDzufkbOcz1G9j
zhnC4icOglhH/DCft7j/y+dhPoNb0x4Opao4c2sThmnJyGZjqpETnRjUh95rquOkG/LdQaO9qnLP
Q2PammBC5oshne8IKJE0RblBm53Nd0gTZYm289A5J9Cq5itID2p2coE2dkjgjcZ7GvXKuRN1bocr
SLvBN9Jvgvf8ysicrdD99qD1NWCM+Z6UkLBX2Jy5Qcs68j9VnTpcFTzTFvdUUh9BcjHUrsnK2LEd
VdsQkHayav9c6ZOO5zQC8U0ivJP0GwNLK5Rewa/I+1M1jHMBwewUCA0lBaN3igsgCQD/pees4rnu
0CkfwyBulkQRYiMPc99fw8cfjqzniN1h7rQPHcAkzFMLTPZ05T2O130qpdktpB+TudkH9rIcKjnM
gsXs7Jgi3Vtd1Z3TqDBf4ooExw66wEM5GgREtyIWGxwjwU8z1eZ1QJr+1eeyvyZiTJ41HNKPIZpo
sYp06e2BWmgA+4kSwPloJ2gmA8VIlEyNi6tZctcSkHKmpsOxrdChQGk2TedajHV8qMO6uHSyD5JF
rbz2E0Plq46Mf8VeZ9Zno3cjPcI3tj5i0Ccv4gfHXW3uW60GFBnD93iKAh9Way1Q2VgZO3Fnqqy9
x+jjsUgr9zoEvrNMPK4u5JPVUw1+K8HyTJKgpSWE3BQkKkEO7n2Sw4yauUgwpOLs1mW0dnsVEDST
6J9DMMkvqyoRcxFenuCZ50XbKDWB53ARbYOAxrL7MmLE2GYpn/gyB/x2wOSMbLr1tUPQ9GpHYMdw
SD105Dgr22BVN24EqEXT34zBv05RNzxZOXy1oUKYkoA7O0DKA7esbN+9j0czQzpENMLEsNhaWG3R
fUZIot9r2Ym17tn5OqiycMv/8qknbbieTcTrrijdI1MNHn7N63Kucj2515oZUGnllVjAIA8F2gnX
vs4BomGWziIcCAAVi4kqnX50U0PC31Vk33ImWhqjtxR3Z9I1aweZ4muF2OjQj0Ke4XyBPDEwRagE
PHuVetPeM2OAf2rGBvsU7GtcRgw3AvcQ6PZvoYJPNCbWlgssp0EKq3LvtY7P244felGmTfSAgWXc
cvJQWIeZfktJqyC4qbgZdm2+2o0hd73M6xciytKXUOjtD3gncC0a6+K+m95BrdwsVg+QlFLH3Tt2
dTZddZdixKDoH+RSDoO7BkU8FbxW4H/Wek9qylIGpPLiobbrve923LshgZhI063d1NXp2mid8S3R
eE71ifj3QWlyxfo3/IIHYG8jRvaKvJW5rJ/KgUJ5wHM8xPa3lIgmApudtgsk4ZS0TPOBLETjUZZa
9QBNz3yK6V+GZVIN3U+f4WdbWpnwT2VTctr0kZU+gkl1SUVUwElT8NMbj9wfnDs4koK0Jr1WCx03
WXlB6/K3koWUJz3jN69uDybYAN4f1IRDn4d7Jf30WBqqm+n62MbYo+Zrm3bkLnNFvCuhx6wJCxJg
uqaBxsnCBathUxiCwNwmDl9/0HPvtaASTHB+jwFz/nIElQTX2zKk9x43CdrAHl5FSDSfZC818ta2
o+7Shsasv+pKQPYUb5jMzpOns1JNunVvhMZH12veHcZDrsf6SQCoQ8GJCOrBjFqWVkS3TN8p1qiF
Ffu3oispqiV3+2SWxkr1rdr6eoP0JbaGrT6nA8JW128gLInGgm4XQ1uBYZ0gaSfZwazvay8sQLkg
fdVgGPrdE+OJ6cmtZV0vM92XS0S3J3au2N+AbuXXvKzMMxgFSBgzuhwnlAnGOuncFYx7FFaBF2iP
wM+sq4V07pfRdSjQKKhZdALSJXbJ1hjtXZtklEVaeS4Qqdt6Q/SjyBleljkj8EQ2nCImPcYgtFXh
fI+4fNNNUJVYekA3gUAMPGNVY63rFG4ICsJjZ4Lb0yXrnveKSSI6TISGxqIpzfQ3daJLlhXlxmdY
eu85YfPG88XlhT/qTsE+O+ZxWb/qfY+tJcmZQoDB1ViL8ka/TY5Qzy6D2TcG2s6Lix9q2enC3gvc
Hgdugvjk5qG2BAcC4T/M2etpgqIijfZdm6KSR7KxkIOM7zEkug8kko1zZvjEdDMq9u1kh8spdW1C
ojInJysJnib3qTe8ol4H/VGCwlxWuskoct5D5uSMr21cCvggg+HRlGG9dbT/4u5Mmus21vf+VbzK
Dg6mRgOVqlTlzCQPaZKiJEobFCmJmOe5P31+fex7Ix75kvHiv0iqXNdXtkkAjUb328/7DFivYBvp
7mbSZQ5uJTjIxlSySx4u2zGx5gM1pImovfI9dBKOGd6KvKwv3GaY6d0N7jYjV+hjm1D5YWsP4yoY
CKh22+AQ5XksYeYu1go7e0IKRYHuO0KkP2Ky8NiMixYCzlG0JsKWeGEW0VVXGWo36g0Xa080ZVb2
MTeW+jJzu2GPTQMFWYZbOhFhnPldz33AnavbqqGmx8+aAWlsIRILebgE6M6NyVsjwecLzEqTBVu1
07j2Br4sbqVa90HBT4x9QZ51WDqfljLpUFIqsnei0jnEGStEqNsRXe8tfCpJcShtGkY97qIry8/I
pExx99hMUzOto4zIuCFD5WhBSiuR35RBTCPNWaWZeRFV/EQcXrUFiLqdYSY0VDFiFCzdYzmR2SrU
cgnCV24oH+45l6/tIJ8Y22LGN9cIi+sYC4t1MY1yA06gtsksCCm1E0IRMfrIr2JfSIYgtC6mtrK+
I0RMKRi68iUOsZOiM5Rc+M5irDHztGra5og9S7IGvtt5lX0pE7fNSX2xw3vXGAOM7Lz8lrNKf+XS
a7vA5wFkSXid8ynF7XlN+kr9pfB05EWdV1f4nKWc/+r0UGuaIXl1+d4d2+YINbU7dKRq1lgX474t
8Tt1A4W2L7X2fGHOx57j2m1v4D1CZ6PdJgXYR4yK1zJxFOrT7KqyxeXcHRaf8RzK4EuHjRH6N//e
LulJpZNMP3lm7l40WZ4fZdLRjeYTJOSYgADHm4Z3OPT23x2FNZ0f0aMZ2GaAZuBn8HNKSzsMXceH
pgS7Ubip962NRsiHjSj9AM9bzr8kSkQPkVdiHkMbYcKdI64NPLiz5dkjsbDFj0vE2yVJFRIZjVeC
6UDIHiC8QlaIlYtj3wnhNPG8w7F8BiBcKs+/TLDIw3KZE6Kx/i9B7f9f8iIQaN5+Ajo2T/3Tbz9O
SP7NU4Eg5fKpKIbf/ttTUf+P366eurhI2lf6kj9//i9I3vtdYozrUt9YritAvf8NyeMMGoCF+9L0
+JvnMyH+BcmL3y0nEJYvgd8DFC6g9X/pSxytSvFsCyjfdUzPA0P/B5A81IZXAI2BBA79kymFnq0/
gVKlPUTWAIhMZjdCOLI9Jui0pqtWYAbjTe1mXrXVWbfJyjIw+V0NnZttEZE2V8tMcFoVRc1uiaW4
8UryOswFUneO//Qh19m7Rh+CT9VGZGFASQLchkIRgWno0Fus+uWiwNNtlaPO+ozdfbeXHFK3XWPG
kAnb5g9rsLPPURvSDJBElxW6XpqgO1wFURBclAqyqaPrqqKM20vgFHLKrCB5goyKxWKCSn4Tnsqy
Tldovq7VMl21jYQnrapTKTfpqq46FXjSt/yjGmCBEhBPBRidikFQSfuh1xVivzTJctU0Y3K1tDij
1fZs7EK/CvcL5aWbKiQwvkfJiehdU57tbCLDlTjSSlenJBWMdL6pWJt0rDdzV6ovaD/TLfiBc7B0
jZvJeHkYMrwtrrqowzwn+LMqpkOtZW8F6TMtKpGY+FqahlN4JVJZP7vI0IE9amPjR1hjpacaXFfj
cGmyz+Ac9ecoIfnd1FW75Egg16aIESHr6l5p90YCOJL22+AM4aUz4Im0pwzOzBVwobiYSAyuViQv
GQ+GUcj5WrmSZglEpOAFQFYdcuwjdM1itFceZi9PRp1kWOa7Y7A2ir7fJmZubkKV8luSmpA9jNTa
fovq2ziUQDRbJIrWRuVEIJJmbm4cz17QtySDfQ8MXbw0E29hY7dO/Qn/VrYxP2jq6CPgoE8KyWij
7FYeTqPrHIYhWRSZH/1ReNK5CIomvhU2paVVt8RIV3U1Idcx2goJ9RAvt5BhUPSAH+Lk13DQbrnF
pwEDXEBGA3uKciEaj1xJOtgl7YhdqCSqak757UXsGsuuiK3wZak97qnDgAFFu0XSw9piqsTbcGrs
e9gF4RPrceaDVRv8z2zZ4HoJhkRxsAQU4g2hYGHSd4iSqvausu0ceCKoSSEZFE1tG7X6feLm0Quu
GBDPwqqmBQSpDZtTi5Nz3rY9W9WkOFUEfj5gee8b5newo+VJcX796HBZsaHB7LyY4AJ80pGoyKPB
Ughah+ObBt9PB/m4hlU5goeXvgOrwCVPws/tqoLrTZZ3IEiopgksffc2TnDk2bAxR2SRprSNweqH
GEIkZeMHfKyyaeXUBn7ivehKe5siA9D5oYP5Y1qa6sLoYVSgc1YR1pJRKbW8OBSX1iKjDhApCO7z
ef4Gb9+FoVCJb26p8oNJe+V+jgT4+IDZtYI/dsuggKpYfj1/mo0UaZdDbYI3aXZRL2EPrkV8wSr3
epzUssCmJ9UVPKuKSQei/OE9oYvpYQ4qdlaBic5IdmEwQKQAiz3QHgSitmucO8Y6+NHaIFOokAzE
pDKJnxOVTs9RSPyM14TLjQIOuU3gpl32iyhuyb5DIRu1hrZusxb3q9EuDqd46RDyWCizOua8JKwQ
KtIpw5RAh9g0b7vUQiTtBl9RXtdbamPvqEbOGf5AmGSCnfyR7BTx1XcjScKcxlEk0Q8EXmgryhrO
xzqJ62xcW5mFRwCiGXGBp0B1ic6iJnKWiiHZ9NIOj2kq58PikWIdw05C/lb74VF0Ftzl1jAJ4sG0
sau1h4P5RL8p+Og5A/F5XRfcVyq/W8qSKnVGPDe6frkTBmG8q1kM9YMnxuCqqPN5Hblu8q2yYxe9
vVo41Q/mHmvOnPBZKNCiS+Bbqyo72IkhNrmIJxgTDYIEQKhtpdf0ckHWgT7BuPTIBv6SwxvnhEzG
2F7QksO5Ik9uDNa968L0rD+CzmjB6sJxQ2pady9Y52+baCQPvq2I2BuHrIHUFLu33uBmD1ZnxD8s
pFg0lJJs3A6+HVwpMikOsP+Sw1CKaV+6kXEJboP8d7LLiqMgvdhNPRWpllROKD6cST1HBkKrNCuS
+4La9QJZ/x0hPLissVpi/4JTgP2FfTu4qlqUkishFu9OmTQJMe+diJEIzOLS77ulxBO+n4FXqvgl
RRx4z7krfLBrXG/4OsBpIhSP9ENaQkCRbz9NReF95viBi52p/DVGPsXBRdMmMcO2DJhHkpZuMk7y
rpgdecxb5RE/rabj2BouZjakOazc1Aovo4goG2WiUAvsJNlFMc7CvTFG6Cesvt9JI83vheyKbZKE
NJZVHbc/gL+S+MaWo3oi+tSi45kpE9ZSVol16szzEYfMaB0tIRojVOFH5RfjF7uL0h1dHmTp7GJ7
uFCVXuN9SJy4jWZr3MpLmrdOfaN8DwaZChr7hzNWMN98lt+sWwD6TR9iUzP43bdQkfBhqdLejVNj
XCpfDT8KMEsdmTt+aCO2Ibj/Its7gJaXEYD0E3w6MooQpkR/RBiLgrbnbbJrhHDWUes5F8PguuwG
tRyu5GRZV2NBnzCArY9tW5rsSa5ipTP4mYvEimi1NeF8m/qxtyedML3sPL9hNPvmYziVZJiznZCy
t5BGPFfd/SRa2qd+KB+6NBhv43ECySK1fONTaF4RqHxDQ7/E09kg1UvhFo71qCePAfvq839Jgf4f
LcX++8+eYoiX9Z+xvdJV8as/bE8V8t3wo13uf3Sohf5Vl+r/8v/2X/5VZ78n/IbAQrX8nxkzx6es
i5++Tz9+1K8q8z9/7q/K3P3dsvWnKD3H8h2alP+uzG1oNBZVuesL7BRPXmJ/VeaW9bs0RYDdsGRz
CTz3/yi/fSz7TzZfVOz4QNE++yeV+VnX2AucADBJStMiOcAniOhMcS2qKYxbh1x3byoug6Lbs5Xn
x6hov5JpyCYjTZyFcMtO22EfEnzDMdr8BC3APFbd+OhM6ZehbrFMUJrkMg6HvulvUzbfNU+hXaCM
hODiDnt6kT/2vs5dCrLHSVSbYFwuncCj6hm8GlIBmpgp/eOnt/E3jeHXRKDTw/kO/XCTjCPJWebs
4Qisinu1VO5mLtKNRXxgFr6QJXRrIvf8Z1dyeZPC86Ed8ZfLMez1OScyWkuONHY3nUUtSgpAikny
0iMfrqPN25dyXvPGaXC7epXVf3MEf7P1WeunMxX761QYLE6b0hu/ybCRcBTKzz1pqRgRWRfhWEXr
3IP9DvBYb+Q4dGvTc4n7Q8CKqwtKHtCovZvgckqbpSyLa0PYaiNE+xgZ01XlySc73rii1lL26rmd
i4V8Jw5nc9kcFzdirYPIhADQpALAfdShqbTuR5zBXTOZNnG4PHmj+tI0yVenkVRKmSneGW5Lv7mf
DAv0wxObagobDwRPYJ73egxCIfHRdoxgU/n+PgaWs4q5Wdcx0ZKcmYLqsS48NpERpgVotjanccfi
e872/PbLOF3o9Y1IC/aBgyegS2TFyVnh55cRz3NURKAlec/iajUNBZIhH/2o00aw+TfszK/clAoj
z6/aAY9psdwRfC/3VLL5qgjsO+zhP+j2B65neyqwJ5VGX4sFS9xc3L9zs1pR8PPNYhPBvunTi9MG
hiwur0etTH3gehy5tqapAMRA2KQ5Pbij+aExvGtOag/dUF2kgXdQ+FgmjfkJWzdChFyIZhy/WwUz
wSJYFGBsraAla9bzVGN2+vZ9/vJ2uc9A+DZ4LZ8SPEP9Bfw0qCJqpJck0tiMSf4Bj+9mR12C1HrC
jEEM2CB1UNHSCS89D5cknKy/jo36sBQkXyK7f/tm9JicjdnP9+KfqTRoWlp5LrGcDUskcTUaJ1xW
cZ/FNc/ed+9e7rQmnV/PM5lNLm+KnJezmS0dbQ4FN2rj9PSu4FGBr/WEsBYTs8L9YEW5TRpDgWa/
MghnK2Ry68XLhWvGX+UCjpxipLuNpiKnIikfdVZk1JHBkHYPiiTWK5hH+Rqv6RkWQHIXFOaAljRY
GY46Ui+6h9Tj5FpbJWHWBHQunE62WHBf+QGyVKMUxdZ1Gy1ij3YhZc6qDgjtgvO8IITjuCwKgljs
NnK2vaNu334Rrxdz4CMmhWeDRbFXWZA8zyYFPtM5ocW8CICOrXIjoilv5tTfZMX12xeyf/1MwMqA
xKghuRB5OmfTT8EBLUO+aSeVuJFlP0qBEtL1yaFQgTNsgg5/hnn64Dbqoh+We2exv4R+oYvv8GuL
4pPEye+RVIilskObA/H07fVc5fu379P9dWq+vs8zcM0MA1xCatzxQ+UdF2va0U/DlS8tHkM2aOyI
R9ysajQEsRETKz+X1+1M3KhfN4+RliyjRjduMPAi/2RunAPF6Hjddm2xISExw67AD/dR47mXiqPv
J8zVqnXd9DdjBT/OrQfCRHqsCA1QKKYaF/bMEaBFLfgBNi4apmkhO6JJii0k2oFzT/V57tOnMNbs
2Xpavi5i+GRTlG9IyRhfCmACDs5RuwuHJrrCplPtsjj/9PaY/TqJqHboz1FaAWyyg7x+tVkfUG44
eGVEIoQEmLEIjuvEkfuwtndvX8r6u2tRc0iUTpChhXW2T8+p2QydUwUbIs+dy2FQn2EyOld1i4kb
nC13lTdoYcrluoteIkkTonJoYtgBG+zUk7usFsvjpYj21gqWd27uNR6rPybp4GvLMPBRQdQ+m+J5
OhIpAmlxkxb55YKnmDCuVPPxnRE4r1Q01dsMWMQk17BsbXr08zre2lk0kAkVAdXEdAk0OEBm9kYr
uVQSVxvYBfdTVNdPeSM+ptNyJzoHanZFv9AtMavGQAHIIMEVpZtvAYHiY2709CyIIHqnoPi7O/V8
l02RaQGOe7a4IKcP81kk4cb3KlaVBBwXlxY6mTENEHJPvVjuTDNEmda/s7/ofsyr9R5asQ1260nB
rsyh8PUYQejpVRVV4YaW2qdwkiwxnPKCCmNw+x7zxXVSNO9c0vq7a3oWRHsX6x8WuLP3EhQYk8gM
fxAa8fvCJqYOttN8WbvS2dgJpX0xfIvJviB6/SlNvCdb2TjDG89YZ0Xr2KiqG38uX1KQUKuSyLQf
3p437i8LsG9TTGNwxSLs+VTur8dkNhqLpnBv4P4ybAAj8HwPd2HK54J/JsmgmYIqzySaZpv2d3w5
KO9rV7XzDrnjlxZq04qe8z0uEy/EiOH/Y+6ikbgSI0tuIbPva9rHK4FsKairbx777VYO0W4Ec7mo
+NeqdqdLjO6w9IYJtcxDs8tE92MpzIdhcb+QaYvAtkQ0mu3cCOL86LTZO29InpN5kUh4HFskRS7f
DhKf1yNQJnAOfCuWG2xQH+xC3AFLHGQ5GjB65xwyE46YnYiv6znKCYzgn1Qo69sF95M+6u77drp3
25TNwICUmmQunuUtG7zELRnZoISgtEG7iYmR0x6jTpv0LyzeDSr9dvIsTZ/Fzs+dNkAoTzDXSgRG
/ofRwaXYTq6tyNlkOWQtbJLHFLvTyYT8RWTD91i3Hwa7uWmHZDNyo5ZZYGI8H+c0PWY54D1Mjaex
7zeG42AWUE77vvcwtsr2DWeQ7UwywQojSrVzS/B7Mmm3lWFaK1NbC/TFTP5Fhvu+262dGacZ/hUt
6frbRNJLheeSwgK6//H2ZPxlk8WUzeOQLjna6Qbb2coweGVYyoY0BMdeN+og5GGsDlqqRWLv6Up/
ARm3f370f9qy/ds8/eyP//OhKvjr/xe7dT1mrKc/DfgvTc7/VX5/Kp7K357K77/dgNw+P7W/XXQ5
f+x+hlT+/Zv+BFXw0mPvNtm6HD4SGNT/BlW0nR7FGydkHNfxkfP5cv4Fqji/809stjwWPWnaekP+
q91J95SeuRew1gh65vzefwKqWGdzBldPmu/cGTOG1qvPb3u173Uogrwqmdt9PGGSl4riuSSGYctq
h39y2OLcrfIXIhJqFvvsGWQRGSGNlHUD23RJKvIb/BKJ6TwJ6ODJp7Faxnf2O+tsidW3COZkYtmM
iitg23t9iw56QNPKIrJHCwp+g94hEb9M6yUOsLBu6HnMN143bLrIxgbUg/L201v+a67/7PX3H26A
GsxmqCTL3OsbsDOr9ic3Z23XvTJEgeOak5buuYbbWIOcQ4hkZQj6yyEmFjC1uI+3b0Hvcj/tvKch
4DxsWi4afNPX3e+fq5POJYkhL/JmT572soIO9YAp8k1CMtjb13HPiou/LuRxGRd9NljB6wt5KuwQ
0lbNvqxYO/qo17k/NXKKItjRq0Mr6mH/0sBeWY3TRCIXfnFHY7bvBCSdIzRZY+sYTvjUpTgTtrNt
3juZNa71d7EPxNxeDERp79uC1rlRAzVnmUt6LmzbVTuM/VbWkaKotm8bAzAkDhnIpfG+cIq+MNvO
35CNBF6PuZWu5fGzQgZxvYQf1YTShkyyh8ryxc6d8Saau+zFchSi9zF/Lo3C3+RtCK4e/Bjj4t5R
8vPbI3dWpzBwp1MY2JpHXCIw6euBk6okuS5pIIE5oQ+haPlCNPIG6lZP8xuNLR7awUo2Y/BOdXyO
6nBhOBSUZDAjqJJYRl5fGFt3WZPMm+79Loa73efphfRxrLPt2kbg0GG5LtW4JiBIXBULH3TZpfVa
+iUvFG7fNseml25CAFrKNwVbIyNKQPqrCqOyfZ6GMDORVmL6Z9DHfHvMdJzs2bRGAoMRgM+sJnHi
/JxsDoFLZmmc7wPLJgnREOKKZB9tg0sDdBqqbQZfeA91qsBjxL8YiUeYsgijB/JD8Ve4+HMBcudd
JY4efGs8WAZawAYPLReexssdEgUc9e3t+/71XQNlstUKUG0iBc5PJEimDRQS3Db+S9oVk0WBswXx
w3qgW68O6KyTVkeMgP3e9/k3A2a70F9MkERQ97OXPdhFOA1Bm+9DZHa09AJ/Fei++dvPpw/jr1cb
yllOFr5v8nAsOK+nVJnXhQM/O9/Hiyz3sm2yS6gDz29fxD8vnfXMpaqHaG9Ly8Xm4mxRg9kiJVVY
vq/s/CWUIaw5r8POErpgR+OKjzwwJvYWajD8BlV2WYj8xSKp965WKbnsQ8y+swRrS5Msil4YkCgi
85B3TPIsnWwsvI2EPED/wfDoioGk39jz0l4kkI432Yy740irfQddDHoGkR86s25vwi5YC2u2sVII
jG2lTSC7WFhHqi5aCwPcDJjCrESN76O/gpcOLuCvmhkiRxpFCHfpse1KNJarOKjdnW13n2a6CTha
4mIS9ulzobCJTJ27olbhZUhI+cp10hc69dUBB/OArkN5MOYAyxoaKrucbEvMjvzVULHmNg5UgWwM
mHAW8xsVMVHkdf7sjcxBN4s+cqCA8pkHDzQ4mIF9xn07d2USGIcpHhHU2f2jVfK1IzYK8I/Mus/1
LLqVa0BdnmfCJDOXi+VB6j5ZJrZBrS2zTT4lz1i3+pg+NLT0EJUgtRNfy9ZO19FQcPiraFeniWIj
Vp6xlXn6YsU89BhhZVtgo41Va3/PIfuHl7F74oJ+jCbooyOG2Zjh1902YwPZpJCA1kVLmgT9YYzb
0PgEseNv6EmF68HtYpS1qtxnInmm/C1XQieWGx07cL70pCa6xRGLgQ+pFTxgelDwGbb9Bl8ztE+Y
brOxjO46d3g1ZYdpbILosKiHPygw9qEsnzHhai+6AYzIkBxOcCapVsQuYCKjTRv83Ns1Tf5SBq29
8prxqulHGubZS04TfT/jzwiPmwftpkIgS73GA9MmSXD00VnKmyxE0Wg17AGZg/WHPTSwgWrmeaW3
zKWivsILryaPPXsxIkhGHm8WNsiLsCrN/27EpzGDToV8q4RVBI0W/OmFHGUmATSlFd0Mn0Cz6jjD
h9B+8sk6V8Uz1LP8jwEB+tobDf9DZ+ck+MXPmP1UB0KF4SrRjsWikWekPD166UBtpV8MlcFN58FQ
yizWtNPcXSamjYnpxaqDFbGq4+TZD6kZReTcOT7WW9pn1zehymbMcKvn0zhN3FZx3yEBDXJGU2kV
HrJu/wF1OLZSZPb9+QkQNfhM8+Ku69tuI0aKT9et1XU587KGRFcbWgJSFTXS7JgZRLIQ/GaU8asa
ldfKtsf4OJmGscWCPlnXPpO26pPn041zu1QxQ6l2ZB8v+yDguW0xdJ+HQAdZ97jG4tTJpyZxHKyC
oIFowruTmN1vVSMvLI+zNRxnY5X0QMvpPB6ricZVipB2N/chdBYWMKPTC5YU/AzPwdQFPNIvuDDF
nZ03j1XNd+XN6UuDpY72AXk+LRckpL30CFBW/shKUKYRF8D1cNXn7CC1t6REIPTdapgYRA4D1EOK
eooqmewfYR0AbNJjjuhyQyC1D/3DynCGrR+FXR1Pu1NgMovNiBGgQYc5tJe+wHzH9AgFDZhBhnst
GHXblfVOzPaG9fR7qcO1HZuZW1J0rbou+dh1fMeuwe8dWWthQjIgJBO0Mn/uqa/0crZw+ESz6N2c
FqVBsLwglnhMZ+4tGbwbu/LUocnFHecdcjssPhU0Ks8LCqi177Qp0nVe7uk0Eet91EPos9XbjlfJ
m9MTkuj7oj+JJhF3eiuAFHrX19zY6R3UdnCT0GxcmWVI52M6+lEqNA2NaVP6SGtsOgKV1T6aqWsd
RZu+ZHWUb1vFVGlNJuNppfNhB67JcX2oFsGK6ikDQDCY/uj8pd/OBt9vypeJz4zip3y8h/KsCy97
/XZmg5mH8uuootLcCNyvwI7VfHlaiZEnUIh5uK1Oic+e4VJmLcp/kHmtqXtR6XEn/rzrZv4tCviZ
WT/Uu6Qa4EzArbkhazzb+KJm++lYEZjD/Hq9rzgZN9Xp4lnH6uBntV3ibNk7oc6ZXxhIPcNmxX8J
mn0HlFTvRkLiVlPFpGsDFp68ZloVI6uPP/JqnICCQr9dwgceYZU6Kxmz6nMKKvdNxC9sRk4Fp/U3
16ujDp7ZY8mOTUxQgTekXb/VexzWW2i1Y2Y1aSMUZCo7eh53bTcsN2kNlexUDsPgwVlxwpnWCPPl
oxk3oEeIeJDVUFyZc/Z8mitlXzzDNHkp1fyAnSDhDQKPqnFkqPVuEwasi1nPJ0C0VIYZMHHGHqYv
9FJhK7o9sJewk2E11GWzg7WD17HXJtjoMar0bKnPhdyB2sWHnDB6FLd9c8Mq2VwlbtxfuFPpkHRZ
eCsSiubNgNB0lw2TjycORlApFK1V1U3LtCJLwjy0tYq00cOAC4DlJrvRQrPT+wmEBfJSOBskL1VT
PYZt2e9mTlbfjCBTH5ycGCizzOZNVPcf0rKJ9pxzCHsOLevRdK1kBVmmpCJ2kk08WOGGmEETWUiz
E4pjEp10XRrU+OUAPstba0CIMakFt7wJElKmWYdoXhPyhKmTG9XeOFbs7qQ7W5fInp8HI0djLMnl
GDMot/akul02mepKtXxOdclir495lazxX7VAxtneu50QU3wIjKK5SQRWUaTzJgRb5uSXujoOi6ga
UmcilxqlGTmgEUJeLozYaLc/UkXB1o8ElllNCbkxrPutLd0LwiMf86CAxYXoe4X51HQ9OtW4ynwH
FRhO1IC4CGaRt/LLen6Za6E7iRWhz4llDbt2EJd5NX6N8mhCidfGh6LxiVedwxgiqfetltOWXK1v
A6pMzOtiFi2iXdaVT2CR0fTggGSMIzPBFBD5Ps4bWD+bnOEQDdqJQ1gH+gz03+Z2jNwNxfOtMWVr
o2UB6JDlRHAot+iJ8HuLr42pvUoAzJmEE+FH0yVyXB9rEVoFQWD8qD0mn5zsbGtrRmw2GE+0eHzm
kwUBTbl3UZbasFnMI5KGbFNGLJlmijM9+iDjgHuXuenmgq9Wn3yI/05XpmJZSobkxZqrYBejfgFw
ZaXB5Wz56PQuUmUEyWR2sgO5pRe+TKlRraHW55/KZnCvXIUVCAYcjEuHBhqIoyDZ9VukApfljTaH
8iSBPxVFcEyo2I5Q4/bC5AxHKoyBN95pHXfxYHBM9rmIxQEqSr81xgpjzrrlp/SJXmDHuZEOnykZ
qx2bjHXnzH6Le36SrduCeVvpKcqBee9O03MwDv4+K8c7VDkkrgXQm0meY9FkK9D3OfrmnQX6sO/w
2liRqYy+mDJ7sOLnTFSPZkbW/CjMu05hx9UTMIyTbTdfWhYZJYkpUU3K6LbMp2O9WF85QDY7cxTt
VWfa7cfBwBKZPY2ggX2DeeUleiBC6Kc0u04RjmxRD/n49fRU13o5VTB6r7OBHW/0+3o3Cf8Bf+/n
eimOFBjzrSL8iyrQua5b6hrDCo4WPQvOjT4acXvCvoVcv8AGp7fRZfV2zrMmrXfjTml8a7ZW/eVE
Iy8pk7dWJi9ylxlW58yGwfArCizGtMgnxtnFHb1yyvYqMpKJbGQDtnHLdLM1eJVEOFyQvbhefNa1
sKPOyZp4vjEMhwhEL9CLdMFpZRxrau+uVzwsNaatxprYZxSlFc65eWTh6wqnxgrSl9KIXyJ2+7Zl
H+pKcRM5zJHTjt7PHMJ0udPouRoxTW5ClwZARE3A4RpuNEqqrcENw8ZkzyyxtSlW+tSiZgAi6WH4
PETtY1Ww9YzTMP0RYZaIV4/Jyy57QsMGnMIXkMlVQAgtutE+u2+GMVkXprU1InNczzKmuuNEvz3t
cm1PfF8yOpRRrvZq8wPrGNVcJsdDfzXHjvpaODL+3iZzsAa1GEFA4CYEyLbXg8FswsktfMqnjt/S
Fi8mYujnIhzLY86ud5r9nDe3PfmRlxxWXwAheKrcu/fnZE8mxV0ZsU1iPmZu0tr4oYEq4Soyv6Ng
vBYNb2TJ9B4YMT+Hyh7XHTUUi0JU37UBCnu3DzCPt5Bn2GZ8s2D7CWPcyQhjtb11JvpLY1AJK259
tdhKbd2Gyy+5T72KXQSBlvYfeTtC13AlGk6au5sgBpVitrPFYWKDp5t7d9p7g5nvNHbDd1pmJyHN
ObxAFxG+iC2hj2je4s9g5piOcsSkmkDkkkMnzSsUhH3/2CCxoaNaIGkzrIyn4C33Klc7khEGlpoa
Z+zPflM/mH6CnzPKTfJCk+dBkk/hSfmAIdytac9q7RSSFGWsfjEKx3ahnsZbrzBQT/g9BXAffTwB
maczEp3g70lfxC/4To002L07K1M0iYzeOtreMl969VwcZwO7HzHqolRyBuoJQOC8hAEKak5qL931
OR3CBmyt7gf/e4oRwVXZYcPpRroKjBGue5x5NyLyw4vMsuZ/DpHTEYDYZUugQCTCzushTfMkLgjD
yPZhx5EDL43wshtAJAiQPnpFJj4lp4UXHJ+8OT43a6JofAfP+RU00q5oEv2Vo/tPZ2iOQ9aJSMi5
26eyc1edreJD11InxV4D78lIWyhYo4ltdeK8A1dpwdg5XsXxHVYqPAEX/dbZpfmyrSHJAsL/mhmt
Mov6BqGOdZ9MXoFncl1/Hcw0xCpLYQQp0ttqLMYPQW3vESRYj28Pg0bgfpncJswNxyclCRnb6zcx
2INZx9VEkLVeBDRg4PZ80rAC+m0rXLwWWF3fvuSvmD1WNjZ2QrQnTIvC+/UlnbI3OW6Gwx6tFA7e
+E9um4j/Z+XVw9y1iHJjY0L5jRUjvsPF4e2r/w1YSJ+AGwh83j6trNdXLxhUB11Yv298irEMQGeN
aqN7Z4b/zbCCMtNqF9gPi1/aVOymtqBLBhnDStz1oHqOX+n8FX/7my4g67onBfLt57L+7sHgQDNx
6WmD7p89WFPCDZuhPOyjJO0IqgMwT3q3vWBJAMohYz5m+8SaF/TM9qLnYs6X/TijB54jdLX5mHxX
/5ASpBFT3Uek3c5kBwQ+m1zQMNskMGu+sSz9WtVi+fFn8Zul1Hj53Ny8MwT6972ezEIwjaH32VAc
OJi/freDjVEItr/d3k/kTWvbwaY0RLnFcSihXc8GbI3ek5unH2sTRbwpPxIdaqzGZLpGsPi996ec
6MlEvUN6O+cdMgxCBEh3mOp82kg/X98WJh71EqGUwqV1BKfJKZ69hqVmMEu2TKxZhqo5YvrVfXZ6
baBDfgU7HRK4xKgerXYGmKKOW+W1ba+SqiSv1HNuJqsneTJNv3ndQfTmvFEuJQiGn07n3NnUOHie
6xj0IUXMGW1jCVIjFT7ofUlvSXcdM4R/pCXlBC/hwLgmsZOztYkqJA9JVDBDo2BogLJ02+60sRH0
1168/cpsvdK/fmW6k4x4FqPkAKrO2dgEJEbCZzTrPfZUM7FjTbQmaX5c5VMBLiYb1PmxkwAdYOrY
j6N5ekyg1bXOPKYglEC1ITudStvssjYHYytMukSjrpuVdgvoikiR1lnAbfJBQqHfv7ee/RLxBoNB
+CaUH0d4NKXNs90MLIN1vqXYpCjtVsQNGIjdEHWXsn0cbFTcsVccoaO0RM5gGGPkCVQQ/IneHspf
Jz8Uq4DpZdO5x7vmbCSLVDn1CBEd9z5sSyYGxmYmJOXovXOhcx0881mrGghBp8MrbXm+0tAFCRvy
XvFHKEEFU+oea8nUrpF9+ZJjUrkh1JnJq9Fl4re1J3/LzQzBQo7xGG2mOn6GivecTPSbZMF5L+MI
yPhm20qfGUsO7+Dbx/Z/U3dmy3UbXZZ+lX4BODAPN32BM5/DmRRF8QZBiRISQwLIxIynrw+yu8qm
XVZ0REdH1MUfYf+SyTMgM3fuvdb6HGbzTkkbjngWY/fvn9Y/fWkM8EKCf7CDICP8MJqquLnawD2b
g2iltbVLSNy6gmgnW6rOCcn7zhn79/W+NBe0n3olfswy/MWO9UHH+POTtDzmicjc3b8fE6Xdt0Fj
Wc3BdOvvTjST0mwTddSXmjzB+Ve/zf67MiEIHCSJJn52y0QB9WEjqi30xL7dML9EjlQ0kKLXseTS
2kQpWqlHA5eCeukYcthYFm/lUr/UU11cE6JFV8BMvzahNV+XqHOPAxfvuADeEbuSmz0BrcN17oy/
sJn8/RzlFXvroDjw2dE/Cgm0NwWyJW/0EBgzDJm2Qd6EQ3vXA9iAy8qdZDDLXwwt/6Hg57etvgMs
22zbH1dSSekw1squD0lOY1PVjstFfLKv8tqdjkJ29FNT3OtW0Z9a2lOXyKFRufYM6bfDnrNrE1gb
LYSEQdG2I+yWRqhjnWmtWHtIx7uGGC2qS67djte9kLhGN33tiVRkWm1txs/7Llh3s8yjX7uOX1y7
z+4LblQbWTviSEgJiUn4pzZZ4nwqlQ2EjkxPtOV+GC8MHfYiWIv5ZIwO3jqhxO9EUh99kp+zjbp0
zZiZ27f1JuxnHb9uMplQJK+OMU2bpmnH/bLwGP77ivvHbcN3XAQ8vu1ii/lYDYQIU7XLtpHOnbgr
JGNMIl6Wve25RArSx+QM5JKbRTa0sJRutscXXY0KuCQ5guCR9XgOICn8vtdLe2Q0OmfYBty28bZd
Z3/5Odp0G4ssDqa1Z8m4+0bkfAn//k7+XsCG7K8UryhOTBvr5F+XkU5dRrDYbQ8YoWciesZqKwn2
Pg6uGC6pjmDEh4v84uId3MIzL35xZn6M5GTXAKoReA6aF7RG5Dr/9fdHa77+OFX1wSyZotW2nu6s
gn5/WNIJd1TkPpNGS7qoI4pTT8bxtnA5ISeDPna2/hMQUrXtTRCNIBN4RMjr2aiAARABS6+m1Z+L
uX4xSGTf/Jw/0NqwDPp8yZTvBJa2F69ZpwEeTfacpuTBlGuPb1rbudiV77Ua3WezBIliRld6sLPY
g/1Hyiy7ikyjH/yPoUdpmN/dNi8PVYjApggYN/77l/QPlQVSV7If1sRWTmV/rZf/5HQZmNVVOVGP
B8WQ4ueAQLrrSJhcv02TsQyXriR8rVhOExGhQIqoGBJAWSikTj/HMIvZI5zSRJtxWt+X6/6m/CcC
IzLm4s2Xion+NiUdBzeAnA///ur/vu+hUqWiYN2bXFM/3pH6zsD5TuPlYIQuGFXmi+tWUcy0I392
o8pE/mLX+6mZ/3MlhuORfcDhUobMgYP9w1MlLBDoGhzmgdY24IumC3Ajcxz/nMW0P7/enqHQwP6C
kgPRSL+OAYduzTuGD77TCkyNh5hlDfP41ebx8aD8+eLQ6zqst1U1tP75n75Mf4a5beCxP2RCEQ6k
eQ1kITIFYFxWrp/Kv3/8//Dr1iWOUsmxuEz87dgpGq9lEFkcRm99asFezQYFldvy7HB3/FUFGX6s
ggP2OHYUFJ0I2dAkf3hWhR6YNupMHECGeFcRiSjshTrYTm60Z9SE6X0sqEiIYefMoAw9Zt6YHC3L
qG7c2g0+jy5IsxyPKK7/W2zN0075nR+7I1G4I2t0S3elvZRhQ84awYXYS6qMhCaCZJNBMt1cumrf
ZvzwbND+Oru+B8yxpmFWFjifVm0NkBZbPG7NkTsM0AKjxo4IER0ZtCOG05SMezqSaqdT5SJ7T50z
Wg4A3X1x26KI33Btcw6BTaCCa+nsygfVScZLkQILBWazDMawhsiF217wBwAUvlqr2s4aVX8/U6jt
ZZnk2wDi+nVSDwNtQw8IHDX3QjpJwuC3kM4ZgaqHDqyIINVJVe2rxs3Ofa6HEaVFVdAlSxy85So8
RhmvwWgSHO/GY9O5t6nIbAJF+/YS+saysras136MnEOHlv8XC835WKivSGprDfjnXogMb00N+vOz
HKVKR0bJKY+CIlxjeZlel6hGqtZksk0tldvSvG2UqrDOjC6hC7MLRmb9AgFybkPd+cwvcH/EgQ7I
6SvFt9LOCchFeoiFbvRpKQ3ubjbI58RWySC80tWeIYK7WbsS+9BZjKe5Ht2raP3xed3ddsJ+8gLU
JuPkoyTxeiLKtKyOdt6Gv2g4fWxTIPtjQbGCqWPYaMwPjzo7p+XBYgn3Qi8HLeaYFtEvVu/HzfPn
rwhQGMLw9rEof/iAuYV5NALSEMFA3mxrguw2g16RVc2CGKRD+T4bxq9uRR+LAn4peyeuNjrs67bx
YYdKjZCEP0EqtKohnTL80ptmMRVjtwIIlMNIz3C89lQT6w0LrGh/0dayPtb2AcYrCmSc5nRWHTou
f32qZiVLfDV1sMfzbTCXz1u+bYcQ3nz9hYkXnRryqQ/sdk+0HYpD6frDp3/fNX8q4P5yhKyvgRa5
zV0G0e8qEP/zk82y0YGtYXkTxI7DdFbtUbqO5iJutjBBhyzCcmO2bwRgJDd8kO5NPaE6rTo7fDQK
kJSCILhNO7r5vpdL+GK2Nh+laqnuRLOXhdAPI9FrJ08HvJ1OBFdKuf6a/KyeyYhMiTSpiCIco+6O
DImGiFqj/EXx5dm8h7+8RwpY8PC+4zg0rjmb//oeZ9wjruII3fesqqvRwRpjNqm1iYZ6OP98E1Ev
yjtzTIOrVvAHDB6TTbSYy5Yw2HyzUIJtHXoRG0ck6TEiHJxo7ZxYCfRcJ1KZfhDj3R6NwUdCFg7L
Nkude6IAnV2js+EMta09lsrXKAAWEBtTMDDVbneGhyXFw165Iz1nQeFTrzP2ytjLBgO6TuA5NAI+
ulbtzcR/uW/8AYmFSB9mg0Q5PxnLu3lpnhedg94W/dkbe14siIQ4VWK4JmywezHq6v3fH5mPQJEQ
t6lFEx5NZUArGDPfXz/OBkJntnBv2qeFpnfSG3pDvONVlo6PeP6TjdO7+LU7LH2ZPycbm47XJvea
8FiEINiNjO5VwXwZ2w7LLIcFdVGE1b+pOQ8YL0fLhZ8C6p1USSbCbnWkkbRiBYkAKczh25I30YVb
nrkxOyR7HjbdvbLJ55Ha1hvDr597wsz3w2Q8SRrS2wL46y82q49WUz4Bizs3KxbTIAv4p2P7T6VN
nnUzptjS21sDhzcgD+fVnoBVcGjxCLQE3RAXGXaHbiS3zDGkgRBHCTKQuvA4u1mzzUWy5sTWIM3S
Vd6RseyKpfUI3fJyY2+PDQ+mnxpbjThua2qeEeIT8o2VhfmmN0NrN5NAMc2CAELbfRwH58WFkhfP
UfCYiOyduw5pVcynLnDFgmOKaOM6rbLwrqOe3ImSoGJgxVzHK9FsJXk6B5/ewMFl5LdnMMmDPvAr
yYlzftHD+VuVtt4lLSJh1qgNLkQfttx5ygQzSp6dofR+4DYI79a1Ai0j32BqGn7Rxg3+dnIBgPAc
FGp0cm3iaD8UyLKnV2X2HTsscqotXvDoBWGZuDSwqjakIU97AlLzG+F34mJDGYmZLitGV3zo06Co
4MMx2TBN/Azw+mpM/euEiNi9hcpn8jGK5vVWzazrIUfyyt/dNNSEWyPiudQ5x4c9spop23/UrVru
7Roxn6WW4btV14DjHdZAw6XwKm9N0plTJ90LJPGfxqHUDwz8k61li+G+IQV449roNAoXarjjL2qX
GlxtEHNFJyay9x3+mGNUzOwcC+wc6VfBlcZdcT2abMttUxT7dn05TEzLtRAfPnkzz1Y7cMwYZILL
jWcHcNgB+Lwp0j2BTtYm4bGV+QpkrEQiYzHOFqI29tGK624xB+4VH2QsAsvfCXpBVKAsiOUXC+0f
nhYeEnoxqx59PSX/utO0vl8WMkUVG2pEObnH56cbj8Opdutt4LEg/n1r+/vvY6qIIp0Si4u69/GW
7hcVyuCl9vallBQgDasB2Rzxh3kWHsXiqV+sBuvvhSXXNo/3ZnHhZZgXfVgPIfI2Zaepu0fH5Oyy
GWWoZYFPyCSDqGoxxWWK3BXn7BPl0eujbtku/EI5u5pUvA2ockYBY5BsJm7Om6jnoDIHvmpcwxpR
gtUdGsVbyfxaP8iW7dqr1sPdSzQnT1beeVX9Nq/bSFp5yQo34adb5Rv6RbXLfVSheZ3BaqE3+QTx
sD0tfngNQbrYM2X4oWqMucvo/QB/QUgKr90wu2k/h8lyoa9l76x+orFS66d24Vm3DHb+n0drU1Bq
6TAVLyjKnF0kEdzDKnHQiLCaIgAYB8EjeKlFaV7Gzu0gc6ynqSwQgzfUJQQUctTKfonxQhJ+bLN/
aNnPX6uF/a0YeM4X6PPbQmsAQyM1OyiSBuR4o56zrDD2fG4OPHheUBME5NJUnPWRQcD/Mqvpjz8t
ed6zuQdgExjc5muUIbg5yRObkBYArucn5MJuT26GTVNT86AOG6kHumnhQ5zak+jgYFqKAX5Prtkp
6tLwCBGhv64Ef8VMqSCqJOq2bY34G803YXoEpdwQ4oyaAxQ75wJvEyhyfkOE8EIINuy7nmhZwkiS
6GRL0DNRCbWrXPxP/hx8k+h1N0Xp2idW53CFp8bZsYPxFHtzeBhUScmSUUb/XO6Rz8eH0pTfYHAK
NBGVDrw/huiR03Fp5+v4ubr+Xzs6/0dlYrF0OVP++0ys67d3Mb/9rzv99v69FX/2cFq//6e/OzhD
+zdSr0gystbmJG1+aqo/GHLub9ym1gSUkAgYZvD/aeC0/d+IaMNCwx0CENrPw+0PA6dt/UbIwOrt
JNgA5wKxx/8nF+zu98L4d6ctiWJ//PtfzImclH+toClxSBpZ51TcAdcj9cM2hRgwmhYKlP1KrXIp
SFJxsFotbg0jJwDL6yxkMymgRrTO5VXmzKN1hrLUncIxI8rftbNbrYjcj3F8ue+kHkRPC8pKxlF1
avtX0JZ68Yy1JZlJxa3DZzKBbOwsNmpxwzGRPZYPCg/mJ/Z8b9OJfrhtKvOZAeKEBbwanzKvkU/p
UlXvvRc4t9qU+dF2m/DsU3yfdCr7O1lMFDxO4IEjasuObpQSxoImDni4AFFjblB6LRdSwUZzo/tw
vo/6ZJixnPhlfba1eqgmXy4PA+Jo5+SLRT42BOUNLFI9PEqrltF5cUcL7yQB1z5gUA7vk52Wg4qx
fzTvhhH2bBsK0WPsSDPtrvqpiqLzkFBo7+i12voet0zz7mq3zg6M1Yrh2bDS6L1elunrYsGOOdo6
UpCmAqfYpPnItS0DgVtuDZ/rxi0dm2o8L4Y3/OiSoCO6QUj1ysSKzdu3JTCNJLy33RnaUZ6fBPcl
shdZ++ahLkP/K7pSdzg5PsPIWCVagaoXvkmS6dQQiDboem/lKWP5xHILgUXefHKhnX7pSzd9h0yr
v01mG9wQwTMHuzZUHVS7EWGuJ5vxggqK84x8AAZQnpYHPhXX2nReCTKnxbIYq6zBTj4Q5JtaXXrl
lIYsXhcejoc8ZyiAqrIyzziICoJlS7LilzQq4yaZBdnjTsrcuUfICEdJbHunYodzC9s+4KgPzkaT
p1c0k771kqeF1K4CAhM0c651af4ItColhH4p6G/zvvsw8Tc5vSRBtuZUv5ncduM2650faSnDz7Dd
eMgtk4z6V9EEPq2sEutpP311yGjgkjJg0Zq8dEs+ZHYw86UT205G2cXv5MOab8jESIsrz5u9+zWT
6ovWZXadjlnr78p5EQfVBeE3LfFQ4MgxypdBTz0xx7YHwsnP0olRu8u+H6NDEFBy4RuGG1Og6z63
lWMcsGUqRvLEeF6NyZBt86p6gNJh7jI4ogRq5Z0dN070VLru8EW74InNZuB5J+bOE5thaGnyELMc
Ooil5fLmAT8Tn3uzFtkmmwR58JXwc/B3xFOPJ5MIaZhY/QJpsZZmVp3QeECNgc4hXtoxg64rrbSr
9zUTlelKUXPCAixGwveZljhiT961rUjQGK3blgthEDe+9r9gnIWxE4dpYGCakr37mTuoMm5o6wq9
z7xM9HvEzJZHNm5rz1hFRsfbj/M004bD/0Nev1l5BWvdTqvpxlVB2l8DWxq5PinEf49ZxN96EOFY
EEUbEAH3uePpwuAUlMQpJLSF6k02QqbcoCRfeMpIrj12Iuue4NF6p9CjHfhYtDUiqMzArvN9HObm
aoAzw8L2GqZwGGjKZ3rDCDndOi++l2MX6Z2TYHaPmwKlLIE7+L94kFZNeRsauoSDZJGrKrHCQztW
G+L6x3RHpnaBL7kkdiNuSNmOrUi793Rlqpuq8rx338BPd6S0jGibup7+6kSlNmIpCrXFKIBULeOP
2CQm+1OFrO6TcsnFJUPUcveED6dHz2yQb4gQgEHgZQoBhhV5Npk0oChjtBiii9kgA9jNeY94g7co
txb9W+T+AucXauKCoL280uMXjBLh9YDJ7nMd5LOMR2+cb3q05+dKOzRMNVkdO/YhyrKphT3uWx26
+0hFd0Qno60KcyS0ueFP997Uz7iZK/uBmGRBh7PzSDotmK2cUDFgzG3KyTpZas4uHVdscIZaPQEC
cz7Lzh/3FiqEeKki/9RnY9rFkiNS4qxBQzulxCo5CITzXZoZ6bJLSTQ9mHMfXTV1ZzAoaIG3Q94h
+9utmlujq/s3k7DV12y03OdWWMXJB9Wwx5ybPHBaZuFBWUGLKzyfvqouc99tBvVPo5bjfvCqx4ht
CTIQo7p2J4b6Me9dirsWEcNZwdA0D6EVpEdoWc5WtgOBrUAesPi43eBsvDzKxD4sh0XHbel/oVbm
a+3bqr0UTFd+0L7q4yojH4jsK/OYd518DQJppNvaM+3xaNr0hCE5ox2CGnGUcqh33KPGG69VTr2G
wlv5frZ4w52ZWt8bKv2rPskdTAwVkKirWToLNbNe6k+qHGndJJPk7KqGxj01bj9c0Hen3bYmrNoj
grbLXj3DcO+HfnYYuxXRbaWZ+xOnHiLvr/QVTMn2Sz54xEWPxBqfid1NL9KCXxUrwo4fPGfikpJh
G4s7/La3vJbuFXqS+VxYrQ9wAXblgx0occqIWu+2iR/s2yD/zk2j/ASpId+Nicy6G7696guSae7w
Xgf3TXfeobZd2u518z4Q4HwnuGHcULlMZAdX8mW2Sk1IsJGJU1W7gqF+r3dFVA+st2BytpaZ+fdm
Y5kilkhi7q3eWJrHqi2Ns+3W+tW2cH/tUhdRdJzgtmH6rbktgERpu6/4ON3XNmyG+wkilHMiEL54
qcc0TW9ntytZjLlbfa3HtvuWOOWA5XCqtXFuGe0hqjbzKCeLZwgeEZK3OJa8Mjg3sAlFnHhE3pFQ
QTD0hp/GZmYaQTBsdZ0Bt7KJN4iLpMMMl4NO8UZmRTFfrkWIdwvwvevCBTGW8CTXipQsocZDOz4v
Y/fD41qn4mLg35kU9T+8sRtOsNGaq9HXwdkzsua+qGsGOS0WeAFye8g/laCbDkLJ9pKJxDyYfgL9
SkOHihkelZ9zYgPFBnMhh83Mh9NugmLgFQ6CP1xhP9FR57LN983sLG8qqnJ3pyZnfmPqm3zrmGW6
u7YdwJWloasEOeezKO4s8KMXvniUcTb/eUUAIERRhn9tdcu8YnmgMBXbKQPtC4ssTJks9OXCwwrP
6IDgrn6Nih7RmudU434yuKSCBhuauCME/ktVd366yWZdvRUzsQEuCRxvTt+3uyHRGK+w5iWXtFaW
h4rDK04BL2lH5PEyb3KIjZ+7MFXfCCFXM8NWmA2Z8AgsivrafxD1PF3ptqme6gidBF2n2rupwwxH
wdhk7amCd+zsbDet79j1562meb4cKXbqJiZ3K/2UWOW674xsk60dIRqXkQXPDv0fU35oBJJEoFm9
hlnOURMa0XKrpfLcbQOc6K3ram+HLb6tyU8uiluH5A83DkZpFRsxk+2K2B/8QKetHjQn0LBP6dJF
T0T3FyGX+Gi5yWZhHqt6qoYtMWbuC8Eqg3jE7x7dKVc45Y4NJnzvqC27eJrMOaH/NLl3VTp7Z1HW
uL0ySSvUqR2j28BiMOY45TM7mhkUYIT6DHA9Swf3xL8bQRxWo/1Ifi53VD/tn8XSZY+EDIZ345xS
twlPtfel3XnD3oxoz1GSGOZMZT/4OC6H1H8c/Ci7zYeFGRxc1Pl2HWZ9k+nkPKiGjZoJbA2fmoh0
f+cNnvHOjpfvOZ/9vc0Q+3swTw3mXOF9iqaotvZAXP0Hsx996FM5CgT849mGfjAGQEL+orPATvql
wAF4J01tfK2BFD6as9DZxW47eamGOfiByi1rsHG2dQIl0ZPvpLZ3z8s4zcdyKYdLwGiW8P9AmIxr
gyGv9gyq5hmRErvQUSnpH2eVG5/8dC6HXQkQ+WB2XneRqyErmDPT3CivcXbW3Ot+U9lleTaR7wg0
mMP8eQmTblcjs5n5u4EKttBWGDTgA78iBRC3qpFmejdWaXaZ0tY8WbJ/mcwOh2taZ9uFpggvxFav
SW2ulym/OWNpCU8Z9FjOrhQJ+hhg0JvpbMXZPOIOZvOKHUM8Y/EMY1djguEpHJA7Rj/qwD22vqNP
U5qkO0W8yN4laPUQrkKQJJuT7wnKiluX8QiVFcy7WE/cDoHcHmoJc3SkRHC39jTgocIdejdVnjip
vKFPS6DI0Wohhqk06L+NRdfcI0ojkjIZKI1KEFpPLmff3g/H9jiWUfpKOYNRLxIPWcXW3Pa80HkJ
Ek5wWH/BUCeXxgNG20T0iqe0b696BucUIAx9xmz8xu2hIwUOwFPMSVzshmrs3gtVmRgCxzI8lbkI
X+n4Wem2Ytx/HnlAaL/M+qIVuCi3LvJzBA33bQnV+9LgXolBd67HKbexRlTwbGetz7NhL+Shp8S0
CcGtNpsd8zrK0E0LNEgbVRlQptLB3mfJRHtYmnO4IT4CL74quivcA81pNhrFrNnT5q23eEQkG7l/
5dTJE4/9ve+ml2Hqn51ldO/IxsNR6JULxIMCnJE1oh+cW6xNRYrzVuH2vxZGVxWbfO5LLGGT+Gym
fgQKUPoMbir1yact+JY1xXTnLzbqItPv8usZpx/ukdE91Yw6HWIxWpftjYCGLxh7boum1beFXJFe
bXfE96KpAHtQHGbp9LAbdLKBoua9kFg/fG2W9lqKUl3aMpdbZZm0oqGupIhWE5NUfzRyIdqXPeDl
8JpCb7ngF2xvIBr3j1Lwux2sJVvCZPu9KjG88ohCpZKLtG8IgB6fuoDafG6LDvs4oYtfVBJ6586y
h10lwXh3s9N+Dass3ZdRMF28KBkfk9Qrued05n6ETn3UUIUYBVn+57BSURGDWE2HLTPuxdxRjdwR
C8cMWtKja+K6t+ROGcqDw1f0FShZO4DEOlpKbCDWAlbtDKd57WhSy60w+uEHibxdADgUazcDoari
ZtIRUthxmrxr24DZW5RyOqKDql6nVNOe6B27TGLAA016J/PGfE6yoab8LuRdnTv2qy0M/9bOS+u9
xcBpMXsoZR43fA+nntvN3mcuQKjqMmXPhSKaC8QdsSSPKBErJnapCndN6ncNAje1vAyi8WBeKlQn
fWtzX5icCv1bafvHtUHylnqGtRsKfPL4WCcfCTGOFonsvTMeLcQocTcidOB8aR5FGXRvNpjd2Ggt
ebS97FXntbg45AdUu3KllpgjfRbudaW1JUnKe1LB3B2BADn2dTrNFml5lc71zsZAFBwgvjvM6CCb
gMUdZRU+5yqzzUPDqYlbLSnXkjG9Gkec8qMG+1d0EX1T2EoLzfEhMn805tTfhIubfDYnGQSxmB2G
ewXmPKztmT7TwalAieYKTTySkPJsBLkjn8akWx6rDnvDlZyIMaDZPeHMXsQMBWI0xs1MV+KAEexL
JInGQh3kWrA9TCdgR8pMENSWt1xz6dSvUcWJtR/HzIuLFB4hVzPjCdhIeGX4S7uhhHQgTGFYZsll
+oYt33cvqpf5rZU47rcy78PPdGYgUnEeUUk3Hmb7srnBRauAnaUwqLModa4m1Vt7KxIl9rPGSI4K
/i95HUIXwPIWnCxIWaT2qPhoGACnsUmm8psRCrbOmvGaEMl2vRb2Kf2IUrUMOyeUPFv29X6MG9gu
HrbnGiYTUCtPxpk7sdzbXMzgLE0Ju6nlJsaAMpjD8oDDz2Q86nXBxtVN/+Ikai2VCb7kzGnL8gmX
XUViHB3LW6y3Jf+vhD1Ii5sHM+acLvyz8qT7xiyNWVcv0mlTkP9AhcMRNQee0cQupPPzGDX+1wIE
8WdfWuELKtsKA4MWxl0dls68aYnqasmbaWfkPB0lbFb2+kQlXpKC0BTlJpn7lutdpUwy2fOuAU8k
wvTVVTNeVx+PKuYNuIJ2BVlj3wV9sPWy0Pvm0/8wEBYRU+27Jb72jJrnJW/Bkxwsv1cXpI3OnWRI
fSxlV8c8wU75UBmlOgL9UvTxGRsTrBKlXclX4lc4gaGaxK2SLBIJRbjZDbKG157YEhYJMbuJbMg7
10m/66WVH4oB7z7A2GT6MvhcsHgnYfvcz0GvNz7mdt514C/QN4uOkNEgmmmgYe1P3vpSWE9hEIph
53ahT53AdPPit0Mv49Qb8je77Rf6Fhm2x/2cWqYBYIoEhXMU9MvnvOq5dPF4+lg30ynwLHTsU/pC
Cih+nMr2zzREgmwPQak60K0t3ysl7esKzyURHwV0rVi2gfZvsz7tnlUEM1eNJt57XLw+b5PwUFys
jHTIoXcR22JUXiqIQslSMR0NiRHohzR6AkDHbX6y2X5m38q/JvPY0QexbWVfsU9kqCxMq+EBLTxp
ncJJ6eqA0XdwLqMcekQg+RR8016vP5W+LbiMMdOTcWHT0ouzLpg3KBroPXIXMDBHM/+DZFZbTvo2
QRG9TLamV5pFeXhDHH6DYpX9kw07TwEHMdRHJlQAz8E0WnVLsCkri4YNpG1Cf4ZsaG5IMp5GmrTF
9MVHLbFdAtV/YSVp+0qbwFZwOLf9VWPaA1FCBkqlreG06XuC3kXsJ7sn7zdJKoNhV0AYCm3TqZSf
cmcg/zqq0WQxVVf+ZuSYJMvIj8aD60NTMuwW78zQmPPVXAHgXG+RRooid1LpbinrMt/ZcK3ubTDH
zSGkMtJcmaJ2q4BT9PBL3eQazUQybkg7WHbKzM0RHaWk/VWYERkY7KrOQGrrtAf6ZPZX8+gRzr6S
nhcCmhr6aJk2aSa1gc8+sIgovGkXyN1xycnGFcwnnzXJc4BRoVNq/1CHqU95ymj/xGCNF5waU5tc
t8CJEqbA1o+hMMIHHQYWncecMbdr1N20NcH6EvchygZwUNnoateybaax3ynjPuWqET7bGUCm1B8y
LjB5pzhcrAGRV4ux7YfrVvMr+C2AU3lmZw90cd1VCOUp/MRB9lCU4XwkFFcM+5Ui99wQ1HJZ5iF9
zqWgkq7CJr8rVfnSEIRIgFgQFKecQ2RHriFALNWBZOqnpHpjoGO8k8cyP+Xg54wttD3UQQHb7nwp
OQp1PIWlvOEOOYVHNa69bKK/vlHM6a9mHspPizlpNOXN2O64rIkzfLMo3CBF4R0BxHJix/cJ9BCl
+90yFJnryezsJxoKF1o6CBUdr79rzdnutwY+CMhGwbgcAaykD50amweIy6yAHJIWCtLUfkTqxJ7d
LbCJC7w+04Wwy2a/0F9J98sYDGKDy5pOlNW0pOImLhqKY8jjSx5VPTj0LWHh5jc0G4oZP4Q1LFfN
CpQ5tpPnMJ4RXYgoCQDuqZvFo0CIBnDKmt/MJCNTEk0B1O8qDtVSjt8YyChuAsp+oSabUKkWufAf
C64miLSKEJ6S9tMnTbLFE7VoumzMSATGxmQUZVC2KfUZ1WH9A5Mhtaij6QNswtaU322kGAXqwryE
WDLR7Fd9pjaLPRHzJ9noqSi1Lw//f0evf6YR/e//QVTRAKc44nPQr86qQ7ed1TP2309rr97e34q/
TGn/8Qf8MbM1f3OAcjjMRaPVFv5fqbuB/RvmICamjGb5hz/NbJ2AwSzeSaKTGdgyO2ac+8fMFsYo
rw7GgulAQsXCFPzfzGxDb1XM/pfo8T8Zoz+1a3/SprklN3ir6EgZGgO573nxfpw3mPEhHUjONidi
yhkYVXjoHd2e6RoE59oORR8P3MpuxmYxOjYY+HrbYCr1s2ckPQbocH5ucgkIEBUZQV4ad2YZZ6OK
HmSTt/dBYboTMkBJFekES53RUExTlIFoFpJdi8qqppJD6vJ1CAejOQ117V63tuecWYDj25DM1ddG
ECy+027ecLGvtFyNvRE306H1zSMSeP9VzwXORSAC03yg4UynisbGoE5QqKFyK+Cg+bZvrFyd89DP
7qcm4GabL0wHvKCXj30YTIhn+gG5zMykyZ657UxsADAKBxukn86XsqTpo4hVdzxhflFkSJD26Rhs
ghEl/cNUcU2KPQ6hb7lnTOcol+7Z6tP0wVttyyrM7Efby/vP+OW9O2h18oE+gH+gWxEd3bJZDoM5
VbvE8IPkavB8h3YdsiIn9aet7Y9GuB9QcfdxavfiG44hvkcDZmu04640UNcU43JpDN/5wXhvejQJ
y/qeQYMhQyht1JfFLtzbqJ9zayfaHI2PdPP0U0DPh7Av0pruRBOZN3MOriMmeoNOKFm/w6EomSzG
eUqEEHoug5IpIxrXHwPzU0jGDRNtX80Fw67SvAPzbX/NUfkfCBNTXDa7Io0nM23vZOUb/0HdmfRG
jmRb+r/0upkgjYORi97QZ3e5XFJICik2hKSIII2jcR5+fX8emcCLjMyXiVp0A29ThQIq5M7Bza7d
e853gB/ospCbQkfBKbVpNqTkxTL2t5tyLzlZtQenqIMmhPRFb9/JyBN0nb79FsNdfnRhPI5hS5C1
RcoLbW0JBvNc6Qavf1yVeb7uAkfsMvhfwcUN+rzedDMx4iv3anCgqwvJ8kzG+6SAKtaVs0mH0rC3
qIvkN/Q+kbOmRYDMSaelXjZ07HJrZQTX+UPnNvrL4uTJiymImPFoh5WXAkIZtYYu2HG9MadR6Jay
71bc2IkgAod4USpFsDgrmw+a1kwlkgfXSuqGu+/FL0VrR99VquV8JPYk+pbRHNpzDuytD6bGZhFS
oFvDzi4ioBF8FpNS2dhJdQdPzLrpA9o9FN90jZJxbD96L5k2Biedcm2qgv/dita4sQxV0Wbq++CL
g0wgvWMkS9PFmSL3QIRE8VR3sfN1Ruv1OsVgKkMoDlKvCXC/jrFRuqWmAQ/fscrxoBOJZTRJ2bdo
htKvWIuyzpkvV1mHGi6I++0cXIGdtLj9bwG2E7HO2sDa+DJ3QflMnbw3ezjKAzpl2mtFP33CNNG+
B43bfk4J37x1pmXZun1LFFiRTFgf8WoN90yN2s9j47ph447ViY27Rh8qEUVOfqoZsg/RgEcz6FRI
4uvVWFHm3AtiPSGWwdj/PBMafyqtjJAaFP3431OQWoeyiycRcsQl3oC3cgxzc6wS+sWUvEMqvY3X
VsMHE14G1VbaS7Ar89Kd8yyfH7xgSfxtRQxsRNb7PIGlM9ydpXPzAJ5sBJDJY3yFwLh87Yw29jai
M+czh1Tj3MskPgdoeZlSYPR5GAutPg2DwdknHzzrYI7Yo502ah6UPw4XkOIeQ1aUouu46suXqkrk
ZiDZgVoqih47RCIQZnHEb9NsJJyTQ7kCD2D2JVJvP/1SqrG6pDmlZHtlf6bBNB36qFm+MoarfCY8
SWXtsowZfOjReSaQINMJtQZJI6+60tmr5FA4HgNcVYyJJppLrOHdE0+HFqnJ4exiFyPItryr56Ph
TiM0Vb+1A0pn5K+RMvpsZbb2qHlX0+o9d23vsXN6XsLa7CF5EsCZfrEqB7BjPdI6rOumIqe2dzow
2rQDkxVNT063+GcXtRPa1M8ktKbZg/Bp7/JIbBad2AQsBlXVFKcknQmMHLj9y0aqKwLU0/MwQeMZ
befQmHNrY8TRzTlerkFnI8dCEGixCG6bGpbklMTJ94Rs4rVuTfUYi4apPTpnthvG//4uraM0WeVx
JTfRbGlwUqVUe6c0+xhHVT0dnaGektCeo/zYj4O3rNwhL1oSJ9DbmKnAOWzFZGIgwpzuRl1zTjM4
4O0GHNcHi5J5PUgUM6upsNxpW9t2emM3zLFWoqLBYZIsB+Hj0vQT/MCkahn4NC1lLBREzaG8KN3Q
rB0zg49epO+yzsoN/dDTOKkRKnze868qvuG9riRoitwfjx1kIaI3585NOKqasFM5OKl13Ekiazm7
Vp8LyH0pzKd2T/zIrmtRE4aMRF8JGg5OnVdQP2Q4VMOkDPJjYqPT5ufS1DjPWrD5IcsOrQUcCbvG
egCccS+sKoBWPSxfc3YDNmqUE3mZ+yesq9NqhuC+csq2eyiB5X532Hx2dtzZ1/jDN9mMBCD1Qb5f
Rjvei65tn2xq972fkXEXJnmOgNm3nG+1CiKI4/kQ3PWWZW8zWN7TapG+PlpRV2y8WfX7KLAWxFdK
NQ3d+XS6Wey6u0FGAOFyiLJz7rKQ05gvawiBoHiZpvmW0YedR0j4CieKBaDy2lRYVJ0dFtVWDyJ1
8uPEq3bj+116WgLlnPqk92uUQH37EvCerVuyoj5wPghyQkqnvjhF7j+UhSn3jOjRnTsalL+YDPE1
4IUhpt0q7+uUnnAN3cvZFFns7E23009InnDG9Dx+ziHJC6oO8gMRVNB5hPPJmE6m8rbMAu/DUp1r
bppgrGgQd7SGm8AFClB3j7Vo24+Jcf6d13nTmc4ns4AxS+Pb1m3lhskkExTXVOBLcm131FxCfikW
O51XzEqnJ89RThO6YxF/i5I6uRSRYd+kvZbFKqdb3Yej7gh5RCfRvw4Oyi851DiDcIWbLABR/CrN
LKmJoB1A6XiJ8SXDA6jCtEunZx2k3u6qPblgCrOPwTRm3/m+zR3glfk9WHqgVoueW8oz1dAXHxrO
hcE8EgGUtiPZ3gi/fEjJ7jzf+3Hjb+Xsjs8LVqCtrMviDTsfpYZus5G4lDYauxByJ6mxorbjHY9q
vLGIkmV1UFFzrxrbqylfPAY9oFNYqQTR9PlG90zujjI1+mrXd00THXTDzGjtB5OXb3MrsW5brZ3P
Qo700ERrcvRU0J+scELhDIpFNP5JkX9WrGARtN16GIMmWfnoE2y6STWDEjpLzetIMnxKoxTh80ot
eXRWOFBIzO685MAbEiyrSqjuLU4kmxrYP+uB9hz3n1AgB090kfZ7MRX5s+Mk9YOuc9qrDeehh3R2
yNyyhnhlCJMAt9b1L9Y1JVxZ18Bw3gKg++y7YN+k6LFXZ37jfprzXiXo0SkJwrFpkxK9DE7xtWVw
hLnz3WtM+TiQWC5/hJeTsUBbE/UCoebVj4Bz8SPsnKcQxyumpnKH3Md/yHOh6/XyIyCd/GbnO9q+
wF2XgWE9BdcsdUVg91ffvwask8fGTo6Cm+D1YELJFtZ9De0jT1Niu9uOwMVrXrtgJPlA/zFdzT/i
3KkxFwh2vtoskqT3H7TfRuL7gknue9v5Ryg8SFKxCRIADP6P0HjPu+bHj7V4MH+EylP1Elze/Aib
n/Q1eD6Kc+N7jsWNGo32boDOVYTLUFdbA/D0ppE2PxPnmmbPm91bG5Rm1ZvNzFxg8gUCHA1X4KQW
011l5sxdS12NdNE0+GGajrBDoqJO7iJEWQc78+NLZhYIGmevlRilBgHBt7FHn/4MfzJ+QhjOd0Lo
pJ/1KH36Z0GUf68Yizw0dg4rMzczoqijmr4LasY1CkUeMmrZfWdD3PYiW8eryKQCDOcYaGZcAsDv
FzDVkVbkErkEO78ludGcMuxtFPjWAtKls4LvsyOjeYfQAIUAZEnjER8wf8VPWvcQSx9XPnJTTzC4
6KMjfOzmY6bz1FGrWPjWzJEmmS1UcPKjqjzozmSiOGFK35lG26+GGhuKZA/ZxA02QtqmGYLJVC4H
ByYqAUey3xANQ4OWrDQMTZ1zdGxBgpPqMDRlQckMG6YzP5q8QtAQLVEY0L1ZpTImUTTN+ofK6XG7
FzZzEwDZDProyqt7aS75xtJBQh430J+TWQjKKTeLNsKL3qlTg53Jb3JT9V27IRQp/iKaonufTdMF
Sawg5cazyL4wPZH38WK1NHidIj2OSFV3iwElfo676XGaors56axXxpPJvauaaxbe1aQfee50pO88
7h2dxyfP0xn33VNHP8mDhA6sQsCUmeJzjbyaNUpVUIeVUdhb8uyR9eCK10XY0Xf8CDJlvrssMXtF
WYqICVPpeSzzKy3M5nAMlpHaFSB2R3DHkh8qiJPMYwtVPaKB8LeUcN6d503OJ2dB5iy9ljFH69qb
0avol8cpGbm1wagmZOUVBxy7xIVNQ/KoLRW9Jh5MvpUPRIXlMaZD3vZDAHK0NIvbEvP/0Y4S725w
hIfC2PdnhkQAas+uYff7RCX2rQIe6sPcTNNLk9fxvHZNzHOJ2ctDVMTw76M+7T7NzP+e+rwf7gIj
ZlDSRtadhfDhW0327hb5ZFSEnpgTIrFGx/osuoqq3srSg1t76RlISAfldqCXgQjFBmZ7bZr2qDQO
+TXwoS+LgnDnml59YEwHoYkNjnJnOhk5F5tJ/kgYGciduOMVihHG0Z8btrqET6vzrYmcf60A3n+K
RO4/IlY3SDbpNcADktYA/GcwaxNbTOeKkKOrXWOE/InSo3y0GLpsPWcAH+iI7zT8AS0adQbBYeqN
jrBhWsHX7ZNRaeaXdI2d8dljU+ZZLnXlb/uhQm3gTPPqf3M4z3VU2vneJlgS1Hsz0bX2UhSDC6Kv
y8KW0q/JYIBL/P+k1fg/qIlom/7VCfbftw0/KdxDxc/mjj/+yR+NQv+3ALgdDmvoAc7vTb/fzR2+
j7kDJylEGGL9rs3AP8K5hP8bWmkE4DYNQcAIEsvyH31CcW0hArEhw9sxQVDZ/5m3488eeIKFHX5i
LngP4oVNhJq/mHkjOzHLsRQM44bEOC4NpGk21LMTCX2U08g4m7yPtZO01Ya1e3pS13QcUMgc5EzE
7VbAHl2Iwf9Ik9ZagwqQlLr9dKgM3Z3ZJJJ/sQT+ua351+/7i5ebGsHrlD9bACHyETMtsjctTHJ4
SkxvHB45mAdoYQoz+r2FTmf7710wvwNc/quj+teP/gWDoD2n0I22ZxCXLY0H4ltvs6z2t0juqw02
aLxwQW6EvcVZMhPuZbpO+rw6KNbos+lD4lzczwsnuMoYi5CSXoYSCw3UiZ5Vhrvn2dMlt6P4HAEc
XilZVZQ/pbnHPfegh3SDV+ApS02miIyZNJVt7g8vmTJmHHD1WN9VSVHtEtzSZBOa8U3WAjzO8klt
wBAWxyIwq7PbB+rclMv4mvRjRzkHwklZudjMxVJvGwDpZvkxD5xV8zKma5kapNkmwzoeLfPJGavp
INE07XKOlsiBY7VNEValTdCSmViJ/gUAlrlLSoyTS1VKeoq1wpruVghw0yfXiy79PHLY0aSgjOsx
N16ctuSQiWrnOKfB53YRxo4Ox6lBh7ie2U9u0iU+FwWWBx2Tx+nPKaeRniPjyOht8OVbV6C9GhgD
hgg6jzhtjFAM82UyE3fbIneCOwZs3kjs7qiHCX1/H3Hmyok7iBZGVQ0w/bjCEDEdo2VmI2/0mvkl
e2S8qmgkcxTEhw+mn/aLM611XLRbtYhhV6U+nShO+GE50WEgRLSi6CMhtVX4ntzGM7+McRNvvHjs
ktC1uhkOmbof+8A+8qth/+5PEX5PSlUxbDH6P06UUvdg7Lr1VID70h6sd2fUezMxULdP40Y1NHjY
3gw6A1VCoxeR6GATdBPQFHMzur5UuNHBLz1z1yHDPVAX+CtfVMmmrjwSEZQHY7qnjB9IrHo0pvqI
GWZjXPEsQ1IcFrux1zmKXNRDvM2cuzFKapq6vQ//yc76+TTGiclprEMaPBTvGEgeu6xbNUy5dnVN
OAmxFjC41q3XcxbKuZfu6Lihlw2ILDuUKaQLrUqgMqscFJ2VUyiMAbl2Q+DuXZ4mBvpo57nPZUls
CDJ+n26dztd23qdrWvwI9/KUCICa8kGSR4Ys/QHrpnkyMOvQo53GNWfznlNcJ08zza1PCJ4x30u5
m0bnU1a5E/jYCbUBAtYw69NbuDvkeidSrDnB0m1CE75GXbeDq79zBWEvjhc/oAJEs1EEpxiZL/Ju
GndMiut5euwmdXI1ZPUuuR1qS+8rFyGgHDZT+7zk9UXWyI2k2T8kifafRJ2pLXOhDd2kt0zhvPTi
5oxIfj0X5WNroEkiI6ZOig/TKjfdQgRCLoli4UycwPp0boPZS3ak5YQqrdFYBhiirMsk42MalQLf
d22IMJpnuY0jD05pZVftu4VThvtemp8mFCrE84gHA1DSNlKjyW97mD4GQfffLJk60pWwA+p+bEom
lwXagtIPToMDzL1n2BvVGuXX3DGUSXryqWu7JIoC44/IBEY84ubXDSjoez8SEafBDKq7Wff7nKSC
o826CNXMfCqUEtfB6njiONA/NoHPYtE5RmjHhrkbgVrtiZhXM607ad4gwDcPASlLDzVeoLuxt/Ve
VThhohHkBuUqtqUFywIVjgmjKLromXa7sOeN62WPc5l2R1Tw7A+Zg3JlSTaNlhin6GtyPC6BcAjd
3Ira71emH2HWQmmDlhwyfZotSxiQTMOxBp9AajTmDlms2khz4FhBUfxSlMZRRgvrXUotufjpvhwB
+AhEMftmJPHcsKrvMi73eCO6HcMecN6Ubnswba+MlJyNo6J7qexyZSWRsZ1axjLZgGhmNFLrwFyt
vF0a9+Gn0uRv3JwUFT/NBX/sYv4ViAA+2oIG+itw1zIcwO5Za+1R+d9XCiExGFKiYBL39M8f9Ave
5q+f9EtpkXVTmZjIY/dD3Lt7Jwq+Wct1LmDiRygz790TmK4m1yHu87rykppRrf/5K9jiby4WnBB4
LUvAfpHXauKnYahflWNatou1Z7WSREU4wgBP0qLGyKVcG4001qq2sk/0D7p9htzlNrquJNDqzRM8
7/oUjCB7acO+eAQv32djEqxB2lxzsK2yvHXlEu0z7CFrMubivYLgTBNmYoi5zCyCOBY5GPh7qePv
JXKu0OiumvumuOd7GBt0WW//fL1/92x/vtxfeAn0JunGZGQ2GW4bPbTNZJO/RncAYdnyH6ESfn+4
DIIYV/MfDhTgP99ZCzJX0WWTtVe9/N5JTtKz63yBgVGuG1e//PN12ddX5ZfSC6/zf30a5fjPz9FQ
UGinKhV7MFl3S+/an22siUy44q+Wamq64Vl3B8MnOfqdWPZMBYjuhgiHBSfuzgG9sZQnuW75GeYe
Bv+07btjH7G4xVNfrJXiEWbuNdWiS921mKvyzkzJbdFgcK8SEf5alaqwtY2b6VqU1NfyxKFO+efr
vF7GL5dJxW95Lrwxn8u9vs4/va4I9D3TYB/ZezWD68wDclPYGOiKwDPu1GBgFenrPPuXR/l3P9Q/
fewvNTXnYxY34vX2huPy02jcrzKz2JmbKEPlYhrHciZRA93hXX6tcuRIz/SfL/xvvwKLEpIIIMU+
UY1/vvLchJegC2XtbYUXq2VLVG57RroTrfAwGYC0PezNJvWm7X1h1a+3//wFrq/rr3f+58//5ZcD
OK6trJLGe5f3X+xWTbddGdnHoqYnPBvxv/Dk/oyl+fHj4UpN/Ngm6hD++89Xm4yKNB94GnvXbtMb
a8xop7RYMv75mv5mNfjTp/xyTYgubCg7lbMvuskKRy4wbEtn0xU0NP7zT7peiil8l9PqXxYDHRB9
t6DSWCIG+KNvfc6hprDP/MsV/e1r8vMH/bIOcP7ouyhvHHYTLVE+dJdUANYNsG0jj+3tT1lMAEVI
+klyQQ7MUUB3+l+gQtZfj8yOaUrBT9QEscDZ/c9PL0om/JxgfPe9TDWDqmZ41MKxDkpN9l5DKag0
YNZ4iCWTa3jYdZzUK1njJ8Gc+WZIlW00ncH6Wl2UpywuPns0be8sJZ7TBjXiPz8b+68vG8wl0vog
f1+/sfvLa2BYSHKLpeGrxf2pnNFnWglzJUK3iWw0lvMUeBNTDnPftwnC5lHpkEMo6JMpo3x3yxyV
MMtpM5QHytRok1bWuoDkRioJsAMOEd818qKDWReUcLZzspgAobXGLD7MvrfShuo2eqmorXREnFr+
TSjSTOaxBljvQc1s2/b3Euf/G2jkf6razfJIMUczxfr93zerHr8RJx+/lZQW30rqzvnw9f/8r5/+
5R89Kwtxm/Bs2ID8PRoovOR/AEnkb8J2JadSMj0t1/tJ3WYFvwGzJ9TbhfPMu+azyv7RtbLc33wk
cjC/fJ8X0WWJ+A+IJPzFP63Xkm+FsA5yorzG+trOr8G+KiPrzmb7x4zXPaDOVtdFjmNF7PZbwuLG
b6k/E39FgMG+rwpsbsA/MEt59t5b6JsHeCSJV6MlhmLcGt17/MXd1iK08NA12NoTSAC3Moq9sw2H
4GBEQbXt/MjFTBNVWxQjKX55VLTvrYrMllMOdRK2NOW9eAiAnjtdtudrhFWzpresIuwFpn+SYHlJ
Bh7pPk+xy4wbziM+23hsVn3vMNVwy/EDtF6zmUv/5Gfj8OKJAvZzBQ8w5HYoSFwzbrnG89W2xoOc
UUwSF8LSnj4hu3IgFtTeuHDynhh8Go5vlKsyiItLNjlORToTenUMQ4F77iNflbvJlO5T2ZjDK/z5
ZQ6ZNHQwJ9OIwFbFoUeYWYZInjjR2zlr8PH1xoSCvsPweOlQ3j03JSyXDTQ/8wQgsgwHLP/WbA17
he3uo2KG9cWwAXzgX2/bC/WikayZRgyrObfc58hkjt7ZmFWYbJtXVCGaGQ9YxGFmGHI/RHG5aew4
/urPOTccjdz1i+f2Vmd89576zK38Zl/1JJEi+mZJ4jGX716P26hNTAZygzIFX5JchBArcwVAMLUu
ogiiEtspdkoSLOM89A27W8WY+XfC48iA+KE5OAmM2qEdjwgpzI3oBb7DeEwe+kkZ4YhWjvlujfCh
gOIIOKtfRkazNTOfWY5nXqg+jULP18bOw9mwia/HDSYUNF7aap2Z1rAOlsbbS6NQz7qtuvUyGfXJ
Mqr8wTCYrRf4CS7gWGOkkOgSjG60L0mQmZvcT+O91xfmiScaHYTR1lDfMvNLvSzLMXHi6I5QNtx1
KS9qU43yvcsIxjVtAFRZJZI91oXHGgQHU+hqFaU9WPdsGrGJNPpJYwDcxr3vvCmLZo8yG2cV24Bf
ALEh62zaz6apX4uEwznncugZ9fDcEp4Xh2XfUVrIwFWfimnc49C808Ja9Yl79PSW6TcnW1w4YU/c
DXNc3aOlIzhlZQoBPEu3MVKcsZFnPF3eQ5C53vXQPKXHPDGil1aaPkbNlNRMNOS2v+P/pGgITsii
KFDz+ZPAW7PHo+PeEtArW7JHOiQWfqAORWCjxy4qD8I6HbtbtwBuYjU1IvK5wHwbyZEgiyFH0or7
qwvnKWrfzbyIrz9KP3iUpUXjrFMsFLFnNkzaXW++SxyV3Ds1M1YJidK6BnTHdxqTA62cLlYPE8Mt
TRxEUmyQtQyvGhngrVLOeJxhk9zihlFNONpYhJlh12tsiNZDIGq5h99iE92r3eERgYF46guJPxlb
8HuQq+Jx7kTV7KHDOO+83+p74tH/w5zJKJ9UO5G8WUyqcryePiCBKJHykjp1uZmvA83QTgu73mZ0
NXcjHgEyhd0o2ek+Ky9JltqPAxDoI7JV8SlDukgiJJbmkJvi3SUKRyL61NramA2Cwl2PHOqyjKl1
PzSxt0tH1d3Aey0+Ul5hnmpki+e2arsbsmvtTYQMZ0+0kzpZae5DLikWDBnNfJUc2JFJQrSmn1+P
8cm1BuphP4PeQqVJedEwInvEmI3/QHq5seH3K29l1hX3fhObDw7+HJAqlmcnRzAt8glKD2qnHoTR
x7hUiPJh166I+oao0rg1riX/mNazy2+eMwQ9a3r0iHFh66pirIkIVz6dKsaz+zEokXM1nRFepU1r
yjo8BkFn7SffKu69lGamyw93g6Rf7Rr+I7TGpfzUDrBHulbBdlHBZUhVfM6mwv/I7ABpahxlW0tU
y7FuSPaOvULsJcKd92yps/MwuBM41AgcVeHKE04KnqGIoWMFaK3ogPYr1qKSEm5OEYO4/biRRfFu
tXm1IZ+x2dtO6X02kho7c/859XK946efHKwMRGMtEpQA2fAVtNS3tNVyw2R3xrdhkeNXGcxo7fqo
DBhBbu86B+hFF0Fg4tqNPIMogVIyuYjLQ2xERzNuXC8kP9PcdLkxv8wkt0KjsOLmXkQI5dfovjUy
brFeyvxxYQa0LejtbqtEv+RYQQ45iqE10bjvqTGM+RH4o7SBBvXgvul3k07fL9O2i5zhwRqc9Exb
XG/9THfXeKgT4vov/aRR5BFxSmsnC9sJ5UAxT9atX4kby8E9ElYJ2ILQa4IET35Q4TGUfXoSNrzy
sNVMQOk7RTmQO3z5JCA6xY4Iw2OTMV5eRe5cz/gwQbKtLb+DZKMquvBDk78Vc14cvdzrX+1cE9MX
JbM6p3M37MrEqiGI2Ub9QMBrs1vqEXFN4/jUCTip8eXHWbEVRROvsXUS49kb9reC1CS1YYsn0duh
or6SBeIcJmivhhWed/YBJdoKC7oA+rJa8tT7KKu2v0ivGy8qSxgpo6tby5FNLED3vcrxuFaVf+Gy
gB1A/Usf7das7RWYQbRhVjROz1GUfA143V8X11tT9pxxI/bbrK3TNxbE+gHdkQqrzi0IUaAlyUUB
8TDTWNyng1pejbg2N7HMp2NqIzjDjr0QgTN288oOmvGMBMR9b0UWoYaguomtbtpcQ/3CojDkFsFK
81QxQtrHXo6IR7ZHD7n7nU6j+Bkfnd4VCzxJog7yl3Fw9FbIhcmOn5eF2udd3OzRc7oowRjEIR4u
EZm5mKnu2APGXZ9nwy1GieUoKMieFXbi49Qi0q+FH6/tujYPGqwmG5J0b5ahJL/CFwp5dcO9coNu
+RC1a+79+BrJ4S5AK/BLxGuEmrsscXcEwj3NXrYgFlfAR+FAartZC0jX0oQS6zOW6HGm4Z0cm2+2
M1LPVbyKCDk2wuRYx0K8LrqRuEDPWCNPuDfs2j5WFQb4TM/kAxRR9UZAusZRSknhtsU157c0t7pD
BycWRApp4/v3BIYTJhphtio0VrVytFLOvpHY6rxkdnUleypb3MZDfxJi/m5ZLWbcgW0KnTx19dc+
R8OyuIiEBKXWbZBVzrZEpXsCKJDswJ+GZjuyqwSNNTx2KOaeZufa7FfTsB2t6daMkwazJ6oEExgY
aQQTHsiRUVSGqyGcHU1yN0tZsrLt6ZV/BBm6kMt74y8TPCsz3TpJXAIhyOzP3G+MVI7XAw/QWknG
YBmTrNg09qVyEprrUt7rgb0cSYmJGSzKLgJy1i1ezeiek7l/U5BnfcPoOhNhojP3jl8orCmtk+aG
c0hBEqpwv+Fii1fYCsqLPQnr1u3xkPZN7n4Lkig4ez35pgC/oIo0dX1yycEZw7Qu1athFd2ZZTM/
1Es2rttafsTMqvayxL0VO2l/2zmW/+o4qKdKFGpliH1SUxfZqT7ruS6o/JWtDlURt8ByXT2zeqBi
j5ep3OYcnfYgcryD4cr5AVdii6ez6Y/4+QCsG0F5tKdsfsZZXF6mInmBRBDdkfSRvY6mX+9tySAP
e8rObqjBgRGTOq48awNwKmZ0alW3jUzZ6chMoN9gW0ydWJz7gE42PhL3s8lRhtvsFxd0dfOa+rF6
SUrlYifPM1zrJS9w0zo3vsVQn/z4vgf+oOLkPhY5EzQU3gjxl+kjmulIejAfw8gXfDJoCLBM7OOT
lPGpkuAfuiH+7F9dnaLwzHVPQdQ08WGJM+L1OqJbivxtgsV+x4464R+i5F2buATwfBprE8cBjdsI
e74ePxQ658cs0MUxbcaZ13qAWOhaFlqFPt8IBM4MT7NoPyY+AfbYZlFCpgeZfx0HM/ga+9o+pBV/
ihIW8tKYI08zEryQgxe3IILybCtQbYGdg5nnMyHZMirn9jmjczFcf94tSdYwhCpLwqAq/W7ywtz2
mTUcUtHRxBMgzDn6UE6Ak9p3gAfOjN2RcMVq/hRFqqVeSPO3zAoWLkXnm6Jckg8OY+JAILQFodpw
wiHo6ifDWEYUnovUIXm91mspK+NLATx2WytT791pRjCsgpxQl2UqOPQgi75rfBTzERL01odhhmUj
yLY+AzEJ4A8yNSc5CEO65Xm5ZAe9zAyVebNGbLBGSfZd1J/xeIKyueLtSevAm16tBgVpjIJ/6IIb
eJX8fd1hlyrh5TLHozw1j5nXmJtCFt/qcdrjNHv0e58/Yw3qTrElokEo533ry3g7O019GOyqO2Az
BaNhVqBOBqvZBDLyng1XBDfVXEUfBjUTNPO+RBPYuMGOx+NsgmKQZ0Rr+sbrnOJVojOjNnLdQ2VS
0va2YbALzhPRszktpj0soKmB5WWAHixLlvhaFcEO7qAbJmNVK0p9NFMRoO4Pk8GqA9PBhc+ZR/IL
7XYPUj2woGdNibTRWMtvu3HJX0h/hZKVRGqPOnd688qElELCmay7vJ9Rnzjlch8bxnDM3GW6N9p2
BGU0Yi0LAik2EYEJh4VOxUNQBM1bPEfENTejfsGeAhwCvetBzg7q9WxszkwyTEwUnfY2fUc6sIjq
6h7GD/GXsByab+YSD49GiU0rbAenPXsuarTx6voICR3yX/PWrneyFd9VVgZHJyG6IJxnZeOmsEwC
2m0FovA6vDdbVG/acPvzJBdxbCIhtsY8Fy+9m1G5onS9Q9LjhQmqytuoGdzbvGngIi7tMq+rpETM
4hSivctkpy8U16lmlFvNAL0ES03NJvoAJqsJQmaM+UF7BVnr1tJ8QhAD94ESrthj7nHWAaeYGxFb
8arOy/bJM692MltKSBhZ/OykvtpFDfmzjAuH9DCWngjddlyOBeUZNL1lfGESPDwGVKH3vRjZTZbU
fi7EpI7BgIEfBhB7UTQutxBvNNJijUgGu6F1Lltalol15YZeCY8mQpEagPTCoBI0s/s24PrVYZDZ
5lvhWVlN82CZPjsIsOm1pEFL46FzCA6BP9SfDLR16Op9Trt1ZCzbWWb6zD6uX5Mp0s+Itt3Noh0O
Bj587Rl5xgUVmA93I5NHhi9k6PSDS/SNKG7deqbESrs2q7H+/1/2zmw3ciTN0q8ymHsmSDPjYhdz
0e5OX7RvoSVuCCkkcd93Pv18VC6VGV2dPXXT6AYGKFRVIiJSCrk77bfzn/OdeHi23M7BFJlE14Ga
xKFprcUlPJQ6L4tFBNJuyURCmMjOjdRm6owTFzBEr2rfJddykxBL46X1XqsRBSRKjMOCaLU3Z+7g
/D2srcDbOODOcAKPp2s6sigGi4v2YOW8SlanQXkYgACoXq/PyhR7p18snfNmALvdTWSxIJ+mDgq8
a9R5h2ZVscKKw2LL35rx1nCm+zhIsstYUWBhiwlc1KTgonwJmv9l+u/6hX6U3BE5zTpIyb994d1r
9/qXf/C/9NPb/qOZ7z7aPut+lzTX3/n/+ou/qbAPc/Xxf/7363seF+Rmuib+0f1ZoKUAUuIT/Dth
91D+RdL940/8Kui66hcY+jYzEUs2NNqVpf+boCt/QePlkkVTxG+Gwt9tiKtqS3MKFaUuTGgi1CjL
vwu66hdsBEjA5m9R5n/JhvjX9dsq55qrD5LFnw3SWpo/rVTW7ERhZyOULCDQm2mkBBb4Ix3IFolE
I0+msz/9ZG5+Xez9GWn97+Xj9evxBW1bmfw8ftqJZKFsU4c4oL8o2tMXFX6CagG3OBIn+/uvhM3g
30nVLPhWyyYpcdu1f6426h2bGEYUjb6wyG2FuW2Dng4ji5FBVJdpQOtFT97mAMKu2IU8J98BTg83
bTGlqFeK2GBtpNaZOWPFwrPUKgClOmyeKEV2GTk8x75ynNA6603Rvs0jbP9ta3GcQlnyMLRDlJ1c
tKbygyA3PhgvtR5yD/1hT8d8bZ13qjFv4ky04baNl4D4gqs+CJ0gbYDMHYAWZP1nj3D7ETox7dsF
LrwyyJYb0AgOvW5gfQ/1wL057bvhNuF2cl6b2hyOtUJZAhOr+VZ6Nwie2BgAyBQYShmSUETDTegh
Z0MdMtxDhfmspBIlATnS6xFHUqsaQdjbHZrPHPfNmds6Jzfk/WANvfAN2maL2XlYBehqh3wVnC0h
XK9Y2AWZ7ow9veh8FZjDNoyrZyOPki3bsdtELcWhsN2LeYLhSHFlRCoDB4HURnMx4yDYmj0dgoFJ
SWBm6QzZxKGDm1BE6jNKpGf0gT/HumeGnqj5nGvuZlg7MLIMLjvjJGGu19soSisATRSy24aGF1nQ
l8gFGhTmphXGHbrpDoMOsWJrig74gNWOa8tJ1Ji90kry5eG0bkwL2wiEJfyOCf+HHDYXzfIIvFwT
xyQ3UEYU9zqKLy6cHO6LZ2IvtFrGA/IkbLNfQ5FeUkmYIt2Fb2PAWx21aC0XMw64v27LtNlRwsC8
IPG1BCq6hwgbbiljfrf74MJK3VNdJtk2s/KDWeGBiwmNbkUrbwOZTtsyt94TJ9/L1IRX3HcHaSaf
0BhYCAQ0TvIPQ+BdkXD8THV8gdhxFlY0/qTDugaM6vsQ/gpGlY03D+dRkB463BUR9ePruMX7bvLY
etQB5LuLhOs0cGcVtNd1B0mTju1iwEY/Qk3cyDE7N/X0geyf7NKpcfZpzovXwEIDyE2t4dCN2ocU
km4Wj97WWJN27JV3RUIgvJLB9BYF7dMUCrz8gnEtlSk4x8B4CGRI7tI1t4tUAabdli4juiK+uoVZ
g5yj5pWMb+IZNA1/AcLVcHgLarDjt8BWwMcBKWSsM7ZELTeqKodtbvKlnVEYEAs6SK2tPW55YW+j
fEZMKjlyjQycH0Y3phM6Yh/IFhPtb92H0eRvWlBqSNAcgKJZvWmW3L+u1//Lzs0/H5v/kygh7DHZ
56+lB3+zNgVR1jd/OWH/8cd+PWL1SvAQzlohAwRHUSXw+xGrrV8s6t0E5n9+Has/ho/fnf7qF5tt
KIcyf8TDAsgv/XbECkFuQFP8QIMRfn+Tk+P3AeO3I+7vWhzobPjrQUR/jnSU5F/Iwbe2nv90yFZF
CmlSWT3mCQydfQoL3hi9Yz7k8MH09Ew9XEiKP8oYI1OuumX3MQnxRIXkM9t88y6oqY0ixP3ezUCN
0OB7v5scEmaGBVe/q4t7Jur23B1CMsasX3fc7FrG6OSWejvEXTFEx6LlaRWG1RUpelBkBAx9ABjP
JaS5vdPP5LPMj7zCDDHT/piFNuOnTtRmSY13FcormE0M/aVRf6cpibCWQ/C7m2faFmwZ8FXD4Tvs
tyMi1gXdLgPRujHHVOyENyjXesfhwAqBE2tjyaS4qGi4PO84EWhBqJwLeAsu0pGrQAVAGHsMdPhg
xunrGDV8xNl38iSZKaZ3FdgmwlyrZRjKWj+TvBaqv8tnkGlNqi4qHutYYllFL8FccqZrIkA1GV29
cfsZk2diW/2n1eurdgYdQIzPvVXsore6ipDqkQ9mkLDAyOvi0k1KvV2ZVG8SBMHRoWL0LGpFtWvg
V2zLUbuntLEqkGih89Y58/dmIjImcfOjI4NZFjrj/xWyeusdbVwGzoCddlyhCt2Y7JbMVpcLotPe
zsuPxOrGg0EugQKNhBbTkEazPrFgKJiQBFIXBnMaAawfdd2c1fkk7rx2ea+qAEIUXafXY9anz7Kc
n5VXRYSMyXe1JIygsZkXLMt6ZCgV0bBjpBwC2WdceOnRLfV33WUUGQ/89qXL5giVEXrskJvsXiF/
8LsygvFNdB672UPsOA8ulL0zIAXguMMpfgCl0O5Sl+Zp/P4hrNQwu8NzD6s4H1KKDDXptThqt12l
vrkyCXwXlsNln9RPvF/1x2SCwzaNIr/ivtcg0bK0G6r2ITCCh2iefKeccnrp2sdk4cAfCI4d2kKq
zWSol6yYVvB6e2fZwO0BxFQbJ5HtPu/L7tEMWeDYjnc3zNSdsBFFC+E9y+cdtz0IznbI2fVphKkD
ntEwoItd1A0KeMcCJogpGQvnprpRzlT5lm2Qg2vS7Fpj4fZLFY4n7HLV3uE9eI1iPZzhXI1pemNM
yKLooYl1i2RdXfb4WMnkZY08p+wpuWsT5R1EJThr7PYRVsF0n+s8PBsxrHHD467WKeebRTL9kJJj
fswSjkNeKlzJ9jx0YLDwL8ASC16ashqQNER9AZgvPFvmEbNcADNQbiw4czsoFB/AWxhqy4K9/rTo
K4c+59twcvWuYnryJ+zc2651zhycytdmE7Q7TBYsbvRIUsKiHGSuvP6aHg2QOLAsf3QzwcaOUD+q
R3n0zAQKW7VYtwFm411vkIWcIzCvnalZQraBu0U4inZptyZnncqLjyJaDU15RgpyNkxnp0ejf5pb
7Xzrw9491t4cPGUmfVpkTZO9PZjJISabd0rcej6vqUj4puOqvkDPYPaN7EXcZYtlXOmcZtRcZ8mT
U4gnM2q6fQl9GhBEcUTTvKm6QXwMlTXcxaMz7oy4pcRKDohM8cQ60COqiKJevcUoIh8DmMxrt5JA
OWZnPHYdlSP43eytAaECkwpaKiShK8pQzsnhip3rkEQkugvKHr8o+s/Ww0sw0SvDJzcm9ZlPKfbq
IXLPV4jrzbgE1UVgdcl1RK/QtgSj1zvxcMhVVz8RTehJvufNFZN9Dw+cdHAfk5bOW2TEIVmSb4Pm
28jGebkLouV2sgtWw15h7cp5jE9V0t9yDhmnnl3SHu9j+IahZjlamfEQTqyOFgk+sxRFdw1Fzd55
VMzv2Mv1u0LEF9xY0rs6VOWtzaZgk8eq3zQWWDXbdcUGwmhAk6I1o81xNUU3N/pdBycXDInHiNqk
zcVEZQM3RrJVQZ4xE7uSp3Bsf3CTLHbagfhDfvcWxNqPWHgzBogRFoqGLD2Z4LLTIQGs2reLP/QE
OvOA8t6yCB5NVXIqrt8DrY+SLPyot2WnxZM38GnOsET6YbDoSxoRRLKFqQjBPJXh+GaEcCzpxxib
B1F5n3abXOYjWhpOV/jWoHOEdz2AqOP6kBJcTrxovBMjDSeDlxob20ju3MmqyKw6yWNFhs+vhT0C
DI4e2csfbGPMdoB6mgInn37Bgrnsa129lxNvKKfNHoY6dWl8n8cdOOurZViQo2vsJJWTfEOEEKfe
MPS2WV9pwOgBi5tQsMPi0dPp4r0Qy1vvlt8Hl1XBxiBmAYbKjXwXv9EqesZnUxDeUO+NWGkSCQ6l
uI0tB9M5dSvbshjEzuO+umkgsW5U4gJwHdLmgaJD/C5tWB8cKiuOcq3ZMXgKOcDrCY74Tme/zdSa
jMp+p8oBhmsHpDOW9vvXAPf/x93/REta51bLcRg0/+Nx99+avnj9Eb1m/+ufVZf98S/4bfB1fyGl
yqi6ug+xmv7DLMjgayuqDTUrmJ8SrvoXxdDL7xbC1MoVTN+/z70OghSZW4x9RGWk44p/Ze6Ft/fz
3EvVqGs7ChQAgo/7s1+3DvNqjmFpnpqYxqdjv7TptdvafbcD1NzhemN1lBxztqf9xmXO6BBVir7G
MxCJk+GpxHcs0ZyWqLCdSzQcYKR0Y/DfLUbxlyWuCPGFHkQ532C/f7aUjt4XHICm34x0U12Vts32
2lBz9YLmxGOotGLA7lSQhpR/Eyj0fHzG7iNLVLW3OjYqrLoGH8EH/03sKejmc5r6AbhK8uB0ZUCO
FBTXbJdRj7fa6nE/0hkyLFsx4a841lPSHJp8GWATDMXg3TBWEFlSVbWSCGwrvGQTqG5pzqkCrpkc
2PB8Rs6X2qgJtkovNz+j2Czhr8Kz7XZKGequiAKVHTQp/OdawUk/eF4w/+BB37G8z4JdyxKKhwik
wR7apRpe6ZeYTjakEHALlRO/KMNpj02gaBsdS9O8nUYHKg9NVyfLwosEE3QtTUvA+yIbj4CvWJE/
W2PoQSNcBOs/YZac3x5GDurVmxQU65zkto9NQl6K3MJ1N6E9yTxzD/Wi4uVKxnlv3Ytm5Y42aq7D
PYkNqZ+GrqhxGJJX9jNNPm27sCSuDzhIsN/RIYY4e6rb1javvfXnkvr1IluqiTKXdGMbzRBUIXYk
YBuq6hk1hLlzHtYfVnTqu4j5qahGn3+NOsdei/Ep9fIZ5MpUhKzLosG6hpMRDhvDxUOUjEm9s4KC
GGhvTnf4zD6TuZ79Ik3FdqSckSA1chTF92LT1JYgvtrO24H995V2YbPkEgjdvKhuH6fcmbB8TDb7
ZWdUO6l7937Q0wndEA8bNGnyghBMfNwF90BI0T6y4UlUEukOOHTD+2ML/OLdyvNTMTSncQqLA8i/
/GC3WmwnpChfLl1xGeKjOXN429zleOtOcMJA/0vFj66uPaaInEBXWZ31Tn0RhYbaOh6S5RJ4l5hk
yXQocgjFkNcXGaxbXlUVvauhzQ4elp4nOEbF1SBT+9gPnKQsVJhTddRv7KEFigIryCcMWt65dORd
NcXUbhWbNn/RLuPCFJkBDrDpnqIHYhuQCU9zjx22BqVwVjlQz2JdBmAt2UnSy/VGaZO8r0srpeU1
BK0SimDvYKDzVTFCV1Ha2gwB/edW11/WmcPYGURseRKICg9ZVN3gQjkM+F6xNdp0pzRJ1F0H9DFQ
rTp3XzaMnc3pzyr1MMDjBrV4h1U/25iucV8U1UffxzfpaHUbO7BSP+u6DjWoda85FcNnalv6XcSv
bGpKKZ6VpSseRvIBPMRWznjt7Tx4Bz90sPpC31APan40CQU2TOXnleP2G2uEK2dqlmhNOn26RXfe
wyDb1qPBK1/JfEtZzGKsxq3NkvVggwO7OVBBhIsfPPV+mcv2IonoXylaYIG0k0/gvl2cYtAEnw2+
732SBAtl0pjGEPnGS2Y3YTJ7jvdQxe6dLsC+aefsns1sYK3euL6nJq6QcipuGyxyvuVCZWcfuFwt
XdorUrCTfYwA9pGCNIZ+5ySo7Vv8PbgKshqDtBmI+RF2CdQaGYxXrLcrdqVu6uvItn90dfMJcE3u
THhcZxOQm31EWYVPEzmCXjrkNzYD9YbLkgDhJdM36GTF3qRwm788AfIbtXKdIDN6R94JPAk7w2x9
3GDe06hF+F6lw/jbquo/pAqwafn5dLJNDCXSJkcnFF3Ha3zjT5mvEgB7BBoxOnmiHSi1ssbc2eH4
ma/bIpffxrJTPONKssCjrCEbFQQxHoramMnV087Qoy4kF3M5Whb3TxtKD8gavOjrq78tPUhPm9Ec
yT5GLkwTjMxxTuzXs6KT3efeeD0plrnwipfxkRKW9G52TaghbBicwT6v4sW7XJY+vYk8IF6qroJ2
YyYSu3QnuvbNkGJtk42cp5Qaju1QpLPcuK5hr5Q6/u24a53xUgd02I2jOx96nu/nyPTTPotWfJJE
vgE5qLnorHVZgmIFyDwhH/uge9SUDOBPw3fdAC3gexxIhnXMIasjE0wQlVCbzisx+6ml2jojIdKj
5zQG9v3BokP7wMKLTeTksYsAC2jnF66KPV+DbcZiOBgfnguZs22FOoH7gx/eKNO4S1On8ifsb9dg
P+VNK6Pwvh5nri0NpccxkUKrWFD/h8Qqr7k42xSLGN41a3n7qTAquWOar0kj19U+6ooWRvxM/MWM
ur0MvfvI9opta38vkvkcA8Rr2VmHPmLzBDdMXVXJ2zBQ/U0BwUUJWIxemQWFHmPQXWSmbBVKfnDM
G3QFrkIyzjF8UmYfv9IxzAUNhgGLlgHiX8Edoo+voiCPaCOVzs0QR0dXwQTlWAHX2DnUE7oV9mfy
3fVpcXv83XPVDpR2wE/gNls8J/OEw0tUb2zj7G3TKPYQi6ZPh/fmde3W1n0Me8ct1XRXcgP4lGMP
J7izWzbM0KAMCGd2sJy83lIAQwDqF+8Z5rBnulGB0Hipq8ltKcwE1VJxUXAn256e9DJZ/Q56R/U6
s0h4oZFALfd2YMDSmyvu4Fs0yvoFSn505VUdwKCocN7GJECPrIaemxnMgjf6qduYBsUBdd2i/E0b
xDvdyKUMgVKBewIH3Q+ZCb1Jhc7vRUGUAE0oXQ42QI1tVvf2JeCS5rIve80uJi7C79jGwztTdeqS
rRsTQT1yzvdjyPoFvobjGJjqU0VRQSydV6Zarl20sYTWcTTr7CweSebzahK8IglhpHcgB8dx62FH
inFUw2xa+1k6qrwZOFqfhx1yaEpH3i7kiQUhq1n6eosjOLxijaL5cYqEY58qO99CJbyj8it/4mhR
H33pgFJKWrRdhAC1lVUN3jZNRM4HoUeMoNGSp58Xw9hiV1Q8OnaSXqbYyK5wwWLUSLR+7ltpPcS5
ouQdsvndYqSMPNJsinu+jfQBFhivbh1zNC0qM89oT2KBUysbfqjXuhdRCggOJgQ+B/pXWl804mU1
CZ9FrkWwHrdB8oILzn2eg/FzqHrDZM87DEfLLPYCaZknlp3guUzn6TsMiAZz8dTT+dbSsvfamtFw
D4dVPQeTC9MC92xQIbTQPLqJ6dw6Umcvvy8pPQgcSsYLtJjkDkKXfq3aenqw6BS5SFh0p+D2sYut
UzjZ9IQEgK/MDNSZReXOPpaLA3FXJcfK6GGLSShok2/3KeKIVcbhuKWua/5ueo1xNZpVLjFPJYh5
ogjSc0Ml9aXq3XFnAgp5N9GGYj5zrfcEq6LBxamFIc/LVNBNGQszfBb9OMNLqKY4Jy7XNOg5HBYv
lN7n9/bopacxAGGiQpo6vZak0K5VQaG39JAKuRkH3Z7x0Gv7nQkHNWM5W+dgYqdRfEePnNMjmKjo
bU5KeBP0Nw6XFbW0m1oEa2Fu6rZ0HjNjm1ZFG+M88XjZy7Fz37FGWBdB7PRnUUK12cGVYnnsmkgg
RnYwGuxwMr4VrR3ddE7hvZWT1d0PFleoaX1Lcnmib5k3QciHMCc7zUe+5j2ybcLCwXxbEZeUVGRv
cMevdMYuZAnhKRXedLZm72XGxvVMk65g50nYYjMt4Pe6XtHu12IWgizWmvYV+E0qGWQmh0uyOP3L
Ekn5Fhrt3O55y9cfZDHSk1U70DwhkofPBVWAep9GbnjquW98ingYdlFO4ZOfdzESVh27mFSBNNCf
BfT0kXLKZdwaxZT7GXYwoHIYYyDNedjG2c1NKTSApTtvm0RfJ16g7/j5FFdjRxYA/aV5yesRjSeQ
Bal4hpcKF21NgAYgGd24Xsf6IDBi27fCcTo1yhiBQfME2CU2ne9Q60rej0k1ldeAXOLrPhbhsaam
w9uMLEOODWZNwLPuSveWCeucbYRWWe6KptOPWRGDRrJL9xt9NvMb9xh8YTSJKIWfcHZm3gpUATW0
5lpbFhPTzdyMz8I07wejqx8gewLuAT1cXveZaYKkTqfoOCzCfmXB7/JLc9ZdxaGYTjX2Nr+aRPvc
17L9nELTy3fGWHr3pTnl9wsE8scZejYFKANCKvSDaFhBrdF5CEYq3TMIG5dhCUFm31N4dorCxCA8
IaNvzeCIs7mQXXOWxhlKLKozPi1An+MVUKLm2vXWFjf8BHdOnE8bQostxLrBA2lsTvcN49a0s2gT
OXFVwvhkTTI7FcybzR5tM185s0z9eKRL97q2MkrtYLex7fWG+WDWo3wd5qI59ZgUr0wLECG7FsIA
tHOTUeC2xAQWtU0bbnRtTDcG8aFNnNnjDxd56z2siEawPPHyBsDcsE6sPCdeuc4CL+QK725Z0dU7
+OQI8ZM9uoxFyfwYjjRubfgR6xhDP1rqRgKNA+BADcmwqflgUxuDy20HhrM+JUvfPSg7S6ydCiaI
hqCAoTaFBotky1L1pWeo6ZCtUnVP/dkzLmAM1LmRO7yHKbAlORObs9zxPJfndTd1+Q3AA6aAgZtw
fJhqNTNfuOWyobm08gH4idKXVDnxZs70gre2C38szSLPWw/yo+/V08JugHohXPON15y3SVbj5x1h
0pxRLmKEJ88FfupD556/V5qxzaRo5ttU6/rDTkfvZOJ6frJBZz/qYugxnQpzPIymYZ3or+4OgAn7
01yw2lmMov9MrXHmRixVkmzjHCb4tm49etqsoN13E0BijqQaQ9rMPc6MqWASLtf8EDGFxZFr/1Bw
ZnuWDZX9sGiL5g3BJTLUzpkbD2o/Z5n0i1Yv9wPV0lcZ6sxOGGm50UELYi+ekvKudXTwo1wqsYnt
pr7PzAmzMl7vfs8CyOC+2Mn4bkGU2rfsVZ+UNoYrEJ/TQ1m5xYmr42rJMErzOnZHb6eLiuqZzLTP
Bj7wD3PH6I/dbj5CoIm3M0z6z5KK92tbNPYDb3sm4USdWSRhTxPU4+ewG9Q5BkX6HRZrOka27E99
SEyS7qziIPAQtq59z0ze3I7uRIFUGKqLqJflMXVi58XklXsLJA4Q7kD2njKeZhcsVnpR9UV809JY
hEwFBrrNid2NNK9RjybCT09F34LJyI7KrjCfZ/LAbDeymjRCf5Z2c9FV3YsesN2AMhwPOqIKm+1t
umPfzHi6eE+aB9ZlEVXjyW7jH5bL+gW1IvVlg5W0kzbzgOjPxJfrFmjKeeCBTe4KSslDa8q+J3Is
LhdFL5JmP7xuPNtjmaru2CUJkJcOvhB/nxZ3vMK6pA/Uzertn8TRf+In+wlM4MJyUMQJWK0rS1kW
Gvdfb3FkBLpi5EFyEkMsGDvXKc2TZXhVjYUiKsZbiBAy3jcoSbLap3PvnsYc88l/9o3In6x0fCeu
Yyl71Vb5H+mtdrQ/3SebPqinnHTmiYaLQzLQQBxpOS7EKFhzXHssapyb1ExdqqGXfGQ3WXL/c7yk
s/x54PMdqeFxnMAIPA2zaMJ9nmj0M1zTef3q2Iurdqo17Ke6E9mNJkh7uTgye/aIIyNLrIJcPg7W
m1vQ3balVqR+Qv6AbdR18l4Mo/GjIXKBjc2jl8KU/coXDOPnLmahyiNOXWozRhTwBvOJgB9vlDia
boGXJd4OJVb782Km5yrqmp2cS8kgIcPrkaD1tsPSdue6+XxuTJO87LOQ4xBP4V5O2bOQpXnbkW50
R8vbilW0xD0+/6i+lEyKC3hCGkRIIh/J1b6rvmTP8EsCdW1Bxd+XMCpU7b67nuPdTHba3C3hYj05
kOGot8ABhfy1DuxTR7qECBy7xnjlZ1MOy/s0+5rura9JX39N/aSFuAHEQzr/sElg+9xSvevk655g
daU80rU9ESSstTjIr+sEoR7nNV6Aqtqp9oiki2/ku/pTNZEpA8Zj++lCUZ6R6JL12HpnGb6uL956
k8nXO42z3m689Z4DwqKLfAI5+X1SzpQGWCM3ovVu5K23JMyK8a4hK3VgH41GuSqiW54mxlv2dcma
1vsWeBznTa93MLHexmYDebs2I65oaDlc1yodieXewUryYouseoWVZLLkmzs5QQep+SHZZWZfdQv3
y8MIZs3hj9TVcxNUTvFuRE4f+5Hdh5+d7Mv65u8/r+JL9P8H8IUPrIslEyqULdhPWKzZ/vox6Qsn
GWTEcRIza11WxhRelGNc79pGpicWqd6p9ugG3gbsMf2pKa89eosvWC7j9zOccTqju43EX71Qt44C
UBBGpJzljltPWewUOulzkw9EgcJY1vdqpHingh2PBhiPvuNO13kW4JcYW+iZFIORec27joXCFPzA
Nib3Tlw5Jyeq01uh7QlJ34Ft6Fj39ANcFyK40UCJCIGFVMLIYG+Z4T2fcXll5sslFzPNOlCZA088
E3YOel3PkV17zjGK11LRzmFA5ewwj0OFud9xEvNGloQt8RXY4YPlOjTZDYn2Q7izFArIclyrINL2
iodLfeM17bRvmWQ66H6VgQcV19Hg2xOxoaU2cwycVuMgGTpV8e727YpmZovfZ3Z3I/QAGS8cA5Lc
mEuVvWQ7Tagi39A5DUCYrcLLZMMZ2Y5UE+6DLo2I5mKA5dRVLjuLpAM5OYfHwrP5yClnJHJmN7C1
5zwZ3vMAOPM2A/l44CZcAH1u9ZzQLdaw8Mf+r49kuIPbYNDRW27BGuwgQ/tr0d3dhDKCUhDj5Izt
4SxLPOJKZmxdIS0uvCsZOjPKNc5TDcSeiBR1DCg4W8uAxJvGCRz60q7qb+Yc8AkISSkMeFCgKbF3
x9nUc6QtNFTPbt29DMKKHwxcPI81peXHwFyICJVDzaNpGpPbpe1Wjp7CsMFTaqtc3DDgGysf+KJ7
40YWsAezTXmKRpqopsdP5iyWJtVheecEF3O6mAeH5ui1DCSRF1Ve3mssP1SqIFDgmOIkWqJW3TpG
E1KXQ7Ef8g7FLZtEFp13U5CCJY+7LpGsr32S1U093Y9feyZzXTk1qLrLNqzWTVRA/XO7ISCUpD7e
hzfra2ul2V+Jr01WK225X9MYj9nXpquAfAYBNR65fcY8vQvsC2n1EqLuxUeJqS28WqrKMv31HHtX
/Tg13L6FR93cum1LymHsN1WDc2TDzUA6lwTCmlOTLYk/0jR6qkXdMVfXist1rxekpk4naXKkEAp+
9YyAYe+a2CrPZS9J8dRfmu60yrupbT3XXmV7uCmImMXPoK/4gIiEzZAbn9XBspymQRMrscp+/a7b
vc2i9Xwid+i3Rmkfq3RucRD+sXX9J4PFT0Z1HlMWgwUPKYV7z8Kl/9fHFFzyPkUSdU86tKm3vq6x
OFTD7dcX+ZcW4ZfxjwaO3Wf3lXb4I/3wZTj8xz89lDn/+fm3rF/oj9/z3yMvYTEDeUKZf+vp5CB7
7bq4DV+b6M9hiz/94V8X3J76BeSTwsfvSdejjIKX4dfwhGf+Ipi19K9wuhWH82dnp2Xi6QcRpb+G
sn9suC33FwA6Gr8GaxvHdV35r2y4Xf2TsxNbKXdbYUGZFppl988RAzNIYDwlw7R3VRmJ/WS1DctD
tid0IrA85RLJRcNvKN3isRQGM1XmbkVFKRGiyViPAwUOBKwdWeKU9mn2IpuePoILHC/ZfRqPxoNt
BdEpnMglOHkRnTe5C0K0sd38gAiifVdWBPGLNnpH/gYBr+fMA/jE7MMgg9gMO4CnTJDBtQGcqBBd
hIM/j4vhrTOVObvN5T7sKdNdjGOW5z2O9oGJpqe55TzydLGdPNsUexo6aRuCO8ymzM1m9JJCjPUV
yxIMPD2F1PeBHWfPtASH96XgIHZMkbxh6gov0VRRmGZjWN4QG+zvU6RcZCcsvyOrqa220pOdCK7d
jcwcUl8W+1f22mQJ2ja7rpY08QuDn04hpvPQpNjayiOBKaURnL4Z6eI+rnas/q23VVtlTVPCGWY/
EacXtMmlbyONUhPb/owUammE32B4QC1NXB7e6JbU+e1CMRQ7aBDczWWq4NVAYU2I3Z8lvADYdVFz
O4aWc1b9j3NcBCwyxcRaaCEpQilGQW/IMgH7iNSSyp00Hfeyd8bkNS5U/kHYF5thM8xkSOpiwH1G
5rG94NpLRNZuDcaQfBH8HAZKs7ZOwdMzNORa1OSM4WXnjfps4nr6ErVB22H2BwSIoy+GDCBd4WzZ
utBPk+WKdgcTyIxs+TrWLIuBRPPo6S1cNoD5nNQF80RAr1BJLoRIP2j/dyyCtF1JFozHPjb0gQbk
mT6k0JkJGENvAhIC/sFn4mm/dZg8bjhu1UXg9O1DVETlawjaB1s9W31I0iFvxS3CUPWjzu35pdXU
X9GnDHRtoxNK3ixANdVmsRw7PSRJ0dxbdN/eKGUZdORWo75I0pIuu6hmrPegOoitnrzm1nOK6bFV
GDzwlZnGB1kDG/OaZTXPyk3zN6d2ygMeEH69FHp8oAVd0nXcwfHZUGUbzccR55SxGYyowHKMTXTM
BGbbjqBhSL/bo3bG6o4KuOUkrWL93Kb1EZHMYEYCBI0B1dLmrma9X5NNEelbyIdr/aMBepFqMkqf
6fCh1VwNjkeWOHZuMuxxEH1VNplPYT2bz8x5YHHNulxWHwcvoMeMVB6gLMPJlLUZblqzGa2NW3vh
caFKgZWw8xFkYnkhj+NbQYmveJQ/ykF7CNpp0rzZ7sRu+P+ydx7bcWPZtv2V+gFowJvObQTCO0YE
rdTBoEgJ9sAceHz9m6CUlcoscyubb9zqJpOii8A5e+215mImHj4PXZIvqzYafATY/oEDujxGrgEf
1TL1fS4yStMsajD80AEwDTy5fp5qBz9wWCNz6C50qWRoij1dHOytDdYePpURNHqMBhcMnH/bcYwI
Zo/Tqqiy0u8YUhdch+WmpXl5MelO8OTpCbbpxsBfarPB9BWtrVmENLKs/D4UtOtOuUnVFf3pmi/6
QRQrHYuf8AklgUVpy+hxcqLooKYaXOyqMQBuEm3sXxTeKNq60g1JEXFVtZ+FkUBBCBXatSh2nnhr
T8KqLhiNxLjO2wSDnJhK5Ecw+Kj5Fg+WlsT8uarSkWtIXhS7RtT1Sz17TdGu3lPRJYxHkud0l2X2
AdjTbA9syUQvJo97ZaMnp4lITA5ke+iezSCUR+o0os9a5yTZIrfEtIJShSLsDYFLQN8RauwTi3Xe
WJxk21A0b2oVwwhz867Yc5RYpNEQ6N5NJSRIpsiWHShhz/5EI0bY+J4Vjtay1lg/+pSzkOg2+4R1
Kz+n7Wzp6IpgqSQhbFTyL/W30STT4vdkzdDDOGXMTmylkNU+sGO6FPlN0VlSUkS4FH2WNhuMM3W0
peJNX5ux3ahbMeU0iie4A2HpZDYkUqq8M/oqSDSQaFdl9X3oR3evNoW+1KAGslKgPvjUeFl+T8+j
IEocx8My66vqcwy1y2SghJfRlFJ/Gp0CudOuUv2oRoX+iPxZvTgw3PduQhpwETkNm2y3DI27snHz
O5u4yGNFdJdfd2Lz8nHqDvDYWGqpgEbQnUaCuBNbIDN8woGliuVQONp3tVI198B3GBkY2i123JE7
up8bltDA0wjZnXjfWmIbmDo5X9lb9gPPJnnshEf1alDoa/CwznII8Cn7gyJBUGdKTCY/mzJtrVRF
fEzGwHkeE3qxM4zpd2niqcDUaTAj4h9fiFgS7J007UI7PMAXVrNPbaimj6VnlEttbD+XqmM8NKhB
lzQbMWkTndtWllAf0LmVb3pSDJCzqB8FeUQBDC5c3LfsFYIHoYZMH0X8UBSqcgkKkM3pmNNH01Hg
fFESXfNDUk4t2KvcapBVJ2jbsZrnAJH4tUX+6CQmreKZO8yvhMwoaXvKg/VABQ1qo5O2fj0VPQYQ
Mg1MUOwbsn56o0o+XiqkSCRrb7CehZ3VR1F2zqrs7fhL3LBlKcNpM7TesAliahEd6jtfg3bEuuv2
6c11enxMFdYIq4tyuHk9VErX1ZVV3kM6GNsIADctabo8ORbAuizqCLe7mj64dOulWrZGn5k9AvTf
QmF3zV0b0WhH3hx8hiKjk5eqctXM9mjhhFCC0yKlB7o2jY3JA8gvWFE+WBwtV1PJDFKWfZ8GiyjF
zFuoff06sfE5uXSFJnis64hq3CA6h2qn36tmW1601qPZvQmJLBIoYHttRWPlZ2aqbVAP9E3iDu4Z
WSxsDnkdqOwN1Cg72YmTvbLsDT63yN23xqG6CegZJZC8BlJi7VGJj1mjHwEhYJRK6Vthm2eXeDBz
gAboZZzfog+2sm5ifBYI9s/6ZHkQkcfykpZzts2sqYZfGLVmvNoAs3GtJGH0ZJt1JNe95xbKebBI
bZhhMi1JugXBxogcJnuWgWO/o4e0LgjvJPZzp/COhIDQ3ZywqqBWCe2u1yMdH4VVA3+h/Ebd2rkT
bmyRNZ8R8IurHEPFW+phG+/Z0FQHO0p5r070oB2d0RiPxGN6fHOG0l65wPZodF4XvURaQy181ndk
GMw0Mh7UZKieDT0pL17NBDvYcjq7rY09j2OLvgerwlS1kDLGeTMK571AmKd+I9LHs0Ksc++VuUoT
rjdQHtw3CtZox36bJhfClYvn8LWJGsq+akjxK3Msu6+JjrCw9gw2BD3j+zYBHHjt6Fdtf/yUFZUK
fmlWEBk758EgA73oISI98+ZEIa3ivLy4c6QpqsSjlWa3jE4JOg/C+uiJyOQ9G7AsTc1O2eSC/bCP
Ktcsc0PnDx8Etvdcapix4cv1IcwWU4c6AYraeErsoDp6WlHcvKKwbx3SzYnhJTvW4Zi9KIQyEt/G
qPqWgtDfkMaypD/YjnUeXLvr8DQ0wxcXpMq4LwajG7epB3V2H+W6Ro9wGI7UjmHQCrIQh1muYjbJ
2RBmi7DEhAJu3/XOOVXGW42T65ui1fa3MAxku+qA8BNBmtizL23B33phdUasb/TCix/Ze8OpKLLk
ZQKWcmN7geELOdvjbIu6Jw2h5uZQFXVmkzRdpthovhkfh68MknrBLx7DEkS22xiN9VdQIPXJYRf5
IDEzaFWIHBmJzn6NWBxjlTDdyFgR76QkVrcJfLEKNe4wsbDj78OQZsoY16ZfZ7QSU6VgAvlv22TW
C6qah0ZVYAPMWt16UUOtwqVTNbVcqDE4wQqi4pupVM0WGTs+keYprsC5qmeJyf+9rixvm+Wp9tRp
6jhRWz2EO4CLNbDSHi3SB1kY7hTPnJRdSpXZVndiJCpcE9qCNuLmS8SQnC0GOvSO9GvB10pttwFK
pcGdZiQAYyJ7fVsOapUuMOx5BI0i7qFjR3YuavOyXBrlnCVLiOVoPsZF/nQ0ge2FSIh1dwgjGWAS
rbhga5m2bWbMtxujTTaWWidb16IJZtErmn4LeWVue83Ov7rFJL7MU3bDV8Cuu2xNQ7lXW9leRKbJ
Z5Jk4y7VDMFVlQPfJ9k3+aVWW3ykU7liKHpxqKEC0YoZEhFiVVwEVIEWM78sk9EW4mp4R4SFHyFN
ifPxfkiSa+uJ7xLByODtIjY98UB2thjCIb60hS8nyzqE0aCxUCYY9JBYLPMHPZlWpjvpJoURrZ0e
kqrjQlIQ0NnXseXqS3syzTnmY5fbukEO7qw8VhhNo2Q+lGNhbWVT86fhGq8KD8+X1ct9w4n0Gqf2
YFOmHtTBgpQlWfAcOyQN1ZAru4VuNcN66puEAH1tR7MbAW/LglK/FbGz6FDrRPMkeKB3AU5+PQ0D
4B+ukaJcOfRVun5mp/GORrz62xCmxSmUH2nPMPCulUatt7DmmaJxrYzICae4r7qavDNbzTgKjJtb
XQXR1mEO2eXtCFEwzMXwZOq2rm7YEhQ7BUP5l0a6ceWTOclOOUZnfWeAhQmfnXZouAA6PXrbX9ep
/rkC9asA9T//mZT1/1EBGSoilzJEot+lw5kw8pMccn4VkEOWr+/y9W+v+fvfzq/oWX/bvnbfsvgP
qtbf/5UfopZjfNINQn2sCR3TVmkA+E3Ucggea6bp8TVZa7IbQW/6La6sknFG7yJPa/2EP/+W2lA/
qYZuzzIZJ4auEgL5C2nlP20xiYagTziQR0ig8Y2of9piJhx8gxFkwarHHElf/cY2o7VWUzg+mJtf
fk//RGLV0OHKX1ZB/OykoWHF8QW1GXj9p68VCkqw0ECCFflI7qHdbRTVtk6ddU4/OrPXZ6FaftM/
e8Zacaa7UEwqBX4vbBgXOk/bAXYsyvf2f/mu/qT8/viuDH1Wf/n2PuI6v+5x6eEsPFtUwaqMxlWT
VrsMVqOPirCGtLmaGI8dRfg2uAN3HlJCfA/BfL0Oy43V+KZe/hCJ/6VTGa/PP/6eXJ35w2LRBKjl
zyqjiJxS8dQwWNVTG23YZu3C3DJv2OSDuyGKaKyyFKQyYLZyMdjTPi5y4TcT9YOAR805P/NFARh9
Jc6VIb+7wcE0CQw6+bqExUEIsP/iDG8ZwfGOXZhd5CebpiO6EaDZMjJbNItitrGVFUhLJnaP6lsG
3GJaVgxLuW6d1EpZYppZl2a+TDJ2yTj5uKvvbeXW68VtCggqYuLgdoVRcVwp7CP71lvQKr4PbTZG
VXGsbR0QI1Wz8gWP/Q6aqj91X5X8gKOedVNv7EvytbrJDeepa7vnjjb1hRzpZyoHZ2c2T0Hf7gBa
YKFAWZHNUtQZe9zwOrGjcZJzRlyQ5l/ftUaIacHeorwxhS5BfeuR8uJ70UH9Mxy6gCCVkw3yW9Gs
q8Qd13NnHOfEUrfJg0dEDkx56iJ7XRvfB64hrsnXzHoi1oBdqgJj7zO1pXsW8r6TY4LLLOZPzItx
t8ZC4SdWwdW+98MMAievoxb+Vln1t0JaJIpYBSnGtm1ohJr6bukwq+qJXGrV18i50/PqCPRpEccU
STMGqKq3L6G9ph3zEiOSEt+njEaKPOPYXePxeAU+uTLNr9TkfaGMGgM7cakZfO7dMbCgFV9imW9d
2CfCddY4ufwwqNuzCujzPm4AiTpCORHfMZdOm94pZUJEcsKiDbKbqGoTeBdcwsVbaFT0vZc0tPls
XhMQr3n2rcYtdNWnsHj1jNjBK4gmBtxjDmAiaDu9ee9orf5op3pHI13YfgZExKRueOEGxzo+QxJb
4ZMAOM4VwAgWRHWIgegpkYJFgIP+ntOzXWt27SwbiY1qkcNqppmvtIdXS47ZFl2mJSsOSPQUdWV8
ZO10Z8navsqpc26NLn42mfylZc7/0UOSl/9sh/n7fu0fDsn5aKT9gJzoL9UH9Jb8+LyfYUbrk467
xXZYHum6/bHR+bHr8YwPvofpkTrxLNwpvxyLNqgOko4U0rB0opWTFMdv56L1CWkWugdAwLnYh6Dj
XzgXgUb98SmMv8c1DEwmoEFcjix93gX94u+Z3JrLGUabHSg/cmLOK3oqaL1YinNkjsExzloKtRXx
SP0dqLi0VTaVOgDYNC3nlLg13Pra3SSWnQNM7WESgFEwc/cxNIW3zKQHAqNFLvdHFJueSfLase5d
9Eify75ss/s6Qt1IPCm3bmR+xmCEdmKfxpongmth2QBTt2i64EpVAKWcgqkJGhD+1OBxAKm/xtSZ
LRxhHQUS76tD9+SmY4FUF+T+UtebTpmYODX6RiyyjEVVR8sbAYt+3dcd5Z4Mz5PpElkiyGYsK8Ht
YEAwa0OpYO2iWjIyYWR475yTi74URxKAq7HWb1zFD4Wk9JoAjN8W+ndLi4e9EgV0n8nUnTZ6JO9j
frd3VKJxC5iUcsNw8ziokAuU/tha/DJhlRrob/zIsZGezbzZVAom+LysTobV1vClCrGJh+at1Mfp
HDzVPHMWdZV566hq96YWAa5VGiz345KQwYrbPohYs/I1N//emNRYenay1gxtyVQNzj15qLxwB1Vd
X0oQz8uuLBcUTeD2mZKtMrZXRbe6FW7D4bGNJ2tnOIIeF31YxmmBWZOQyuBU4VZQ7HyfC3mLjA4w
EeH5sDaz9TCMrp8Uwryz8NktMpwYizEgA4iwkmzcxgzItbvWTidX82CI4maklRkBTjHbZSKi8V7N
AjDudd3AGVeS8G6wqV21HoFANZspsfNLLxXFb7ruFKrmXZRQvZjaz2E24qNAE2labnJJL4+hrHfK
RCaH2aGnBOBAoGK0xpg/VX2Wsvme5vfYq0qy/J6xtZwy80dQK8S6Viayi0rBN+KOobAXnLiD6NV5
7NQjbV5cGoBkuS7ocSbKoVYfA/GkY7OniJlW6cGev3ayq5C6ZFaqj3qMzYmz2yJISCBnnUdAt0kx
aZuKRFVuaa8mbu3DhJSGE+RkgII2VQGkuLoYjUv6KVli6r/JKdI+d9i9UTmLeGVCF7737HzNxo4Q
gz46FmsUqdxhVrcuGMWJbnrE+HLDtTCkVe2hwSbW+PVoscOpjHJvBPV4SEzpcqJU7FbbPDwoFPru
ck22uywJsufECEmqELaPj5FOeWuUgMoeHRk+1NSULHmp1js0vfEzJp7Cpyy2uES20e0cJ8++EPx3
8GnHk09rPLJQmbN+sAvvUGKv52zr+3WjaVjmlWk40WYhHibaQR7cUrT7hPDDo+ACtK463IILWcI1
ZYJ1lpUWdWes0taJupjyyO2gvxJVNM6WNrX7RpX0oCdZS/CGVNPAXfdAxDLdycijnVoW0TfDHDg5
azHK9xL6ZM/czW8dKxPI9dLrjwDcm0MWsIPDO9OpFxdd+dYbXXXWAl07irSIHoFFeKfKw4TKS8U5
GkqvHrkrNCw9MYFwuSqdDbTY7Mx8EM6z93hN2Enm/8tl3lDnp/LvMwZkJw/6E3snHtywnpgz/vjU
TlMYYEY9YYAOw+xcmrIAGVx39ZkKzRxSCrWjpdb3kN7JP1EIRosoQRY8VZhozaZ9tLtaWaOuYG1x
kjmaWGvF0sKiuLYjtiZEJELCUm1A8zwdOBc7V5NDQ+s6HED2y5U3XUpbA8IQuNlpDHFY8kp6tDCN
42Sne7XGgeVDawKNO1oPUkZQ8dte3NltSKFlP7bBQ9nDLdt4xCEnv3YmYObAoisiL3QiEr8jabKB
ZRwg4scgwTeqCCNWWTi9oWizXVtyAypWiEj5o0GO+nONGxPZcForuntrHfTKuMl9dn3Lko4qv2oc
OJlqZuP+yo+KQTPbKEjK0kJ6K4fmGJXyPpCO65cFOlI3WESb44EkdxCvUo1lL8Lv5Dt9MtKtKQ71
ZHaHQBZHJ+btH8cjCweCan0OwjhpJXdx+EeLqrfDtwiNhoBVb64Vkggw1+ArFribeMawCnBoyriV
kx0uyzYUZ9RbZ16m8lKaoBItJtVWj0TpwQu2SX2Mof+dWkuNHiM11I9hbFfnlNH3Vmi2eolSg52J
F3fNgb/1cCSaEJ96FS80/mJe7wBC6nfqQzuTJbsRfRNZgRFCBsNazu8UlE774M7vHn1+H7XzOyqr
XfI6wWCcU0Ir17KKq6Op5pzPUd3hReaozG1ZvxJ/ILjApZ+gzPwOBqjdsljjXR2w8nro5nc6pIdw
V3ZGv67m50A8PxHGqbcPpVmkflfl8+ugcu9xpGdf4vlpMs3PlWl+wpjzs8aanzrN/PyZ5idRPD+T
PKVUd6mrxcc8tHlkDY0Uz6Dh6XJMISCWDSUgWdNS6trY7muS6eOhDBTwViTqLpHweDB6/N8HLiD2
G9SgaDMkdrPmZm1f+L+Vu7YKbdZeo7mKY0w7/gieC3krkCzi64l+mhXaND+261EXg87mJD02yWBI
llU52MLXQkOOW2Ei/p5zJ3F91aqAqE/geaal7g3osWSKiTbnEEzKZ9aEkrnMop6C7g4jbbZFKLvw
qDM2gLmp8dAv2sbt2pUBBLvnbReDCFRDRTOBkEcjvNyR2piVmCyUbjKQaAvSnEkoZZ7gKGAHfWco
nX5yw8G6DoqjrTO2ByuZmNqtph02BYaAI2FDR1OWregDxrYYwAwj0lvCDOtYgyxdD8PtQjpTpKxa
kXEDguMD0t/hsfkyZVlsYAjMNZ4tY5J4vMS0SjtKo9FvKV66qsyrqxOgPk9J0q/UmmabRs+3NdRT
vJjNY9Md7cmAfhyo1D945YlyHAq0GyUgs2Agwso4QDpGcNQovF6UXjgsRVHSKG2yd1a75EuZev16
TPo3rA+V70oDEMGoXwK16s9Fw3uULNXX2PlKCNzbjzq8MRtlH5mAY4B2CnMBpXHjRMUVLeKWFKz/
h8y90HYRbCPh2EBXcVi37FYODarrFicvzRqxsWdPfiPuN+PrUT4Vzv+VOpVvkPmV+W9E+GqEEy2j
/sJx/jhpZfzdIky3q1s6mPusmA74/tEnCGk/aa46LhOtGr97BWAPvw2L0vBr2agJDcoxtNOPyeW/
c97DvychI4YyQ5n/Vgz1I4a8+B9sfX//zJ8CqA3CmApHk8Y6l+jGTGX8iUS2P0GrQQGzUd88VNC/
65+G+gn7HZ6+Oe8xUx5/H/T4kO2yR3VteE08v7W/VHGn8cV/uTHM0yd3BhVnCN+FauLu++ONoY1s
DBwiGTd2L6tHURXOS+XAbnH1AEINz7/hM5aKr0GqyW+8Y/IvfQsZxO6iqF2ZdU9Na1fIlcMJ9EKR
R7Hv2JIvNTfO3q0sbJ//+2L8gHv/Ry9GA0X5X4sOp9d8Rof+E82BT/upOZj4QYkPYR6wdIyr86vq
p+aAFI8WARYbl5TH6+v3l6JufQLiCbeUxJGOi9rCevqb5mDQtoiszb9oIB4bqCJ/RXNwZxz277dX
whIwqj3NQRaxAHVb7qxJ/KI5WFVNSBMCwTaRsdiOwAiAKtMp0NBkVDahHuIeGB5S6A4bk8pZP4ym
4VHUDZgTLX6WoVedlMqdbmEghoOj992NxoKrlgtUwEljqOxBF+pDoYKhhAu2iGTAtskVpyYFlSvJ
M5it2x4oE7spLEORJ4foq6UwgFm4zuCtZZfETVx3kSUiJSFMRT2wipYrHNrItCwtm1oAmrD9IcBO
MPVjeeIAHSLW+yPIvKgouLkFoP7K1NkqLLOsrVd7wz0iQ/QSl+U3QCm5swwbA4zLECdfKPr4ChNE
3ZKnPSdsRPHiZ+mhJ8WxrA3sSrk5fldhSi7NNq/wQfTgHgnp3KgbrNClre2IgWrRixkbE9P7NWG8
404Vq/xD8UvHpQbqf8lkq+QNP1CNgaG3jJ2qyeQJ0yjRXhrY1hLuEZcwnSoQBJPypvbJe2/VJnmg
IPCNaIRFo+ExITaufhHawBa6DvJuM+pANlzPDO9x0fmN0Sv3Xetk1y6zlU3WW0G+LEFnX8mlzv08
9B5mXK21jqA+miaKT8+FinM9hdTyMS7F8+QUYCYmWWsKgDaIvPAYM9T0rAQCtKMvIjuUQ9Yk62DS
IUqaQ50GhykJAJFHruIdOoqtnhtdBnJXV3Ydbbwx7vbgnitMVN5U2cvOGrnGIMx1gU+FWWYuTGGq
b3ZlDE85ebOOKETtgPNzKnbxnRANeTFl9C6Ng/KwEGQCpI+5yOLs7nGV4fFJiJ7VtjxNRC2x9NIG
OWcKA+QKNp7asmF1jX2T5t64JLjvEEq9s0wcL9cxBT3ie0mtcJsznczBIqAxfXmSKe6WSCcAuAFi
vNrzCsP0kzH34YJxKv2sKD05zjIWB0e2YbhqxlKWGy5qNX/zMXb2c9uDt+g1CR3a7r1r3TE2pqrN
NbMPIDylq0ZtxLIjkMhg4DAgGmfOtxfqtC5DAvQwo/WSMUxuowbFxpLqKSsRWMjx3LpZAyrNe/JP
q1Ezx3M8ayoCTHjfVsckDJZGWhA8OlFbSaSJlpgl5iqfUlT+ZHpvLRsxih2GMuMSj4byjZczLiv2
Twzg7N2VJXjqq6pCPyn6YcHiTF17AlotP+p3Y7oKqNe1y+doWvkiFD251iqtXHYUL3sJ3RQfnome
mNgoKRB/6eO590qFJk2lvrj2uKzHsWZMI/HWWZhUP0Sr1ogehNFFACMczAZYrLYVNI+FbYNB8EYM
CJooan+EkAQhp1BeTRN4SuVsSLdHcF2KftGVzpwoUtn7FMbSgd+A48EzCmg8eXFS48T+4o3hvZ5h
told4Gd9kJW8ZZJ1asJT1wynoS0ycN4mc+Juro0rzR3qo64nJPMDGsbyLMCU69zz6DuFiYVLuhp1
Uu3uusHmPiZZtjYBnmwqD/4ryNMN68F3CPkYX+3xW5gGd0ZEf1s3mfbarN0HBbTyt75x06/tFH7/
5XS6/His/9qNgNP+D4/7WaxgwWcDtVNJO5BOmD/+y+M+LwfwS7HmbZWwVLHBJDox3Qw8QjiU1l1U
2LxLlKkl7msR6T2pxRC/hEmB4DV0HTs78uURz8nG5l1nF+xnEnzcc5oslXhk2Btxp9bSguVeR79V
IXPtDaIZ72dN9jSpofA51QIdWNrLEUOMvhhKSaOOFrF2jEJiSzupWTwsiEsfGFm6bm19PE2UjydL
9fGUqecHDhnKCBJpMzo6UxubrEhKOj5bFbQJtKrk1iQKeighdWcnq4rH1KwA6MFsSmpC2sjs9pgR
Ju+B6KxbzKXo2N0RYll/sNT8oCdpdMC3l6wSna0VNJloSTYai1AO2QIczW2aNYuEx9nRzgNrU1U6
ENKusZhQY1L9A5a4PNf35GCbbxrVszAPUEkqI8p4rdaVyDd1qrUDOd7Ca317isdNjeoaL226KXl1
s71n2C61JL2Px1rrDyOJMsIAPUIOVXIrur2lz1pULMnF5U/RLASx/UJWQxuKC5kcxlAzL3A1cDC7
9O1+5qEAU6JyprVV9AU9UBOdBcKukjtILe57SLx1FefJVWaFvrdV2kwKPHfaCWE6PTOfM+c0P2ae
RkzxUbg6YiJz6x3wFmXjAD5+cwPsaZqSNRe4PoD1nTB8CyhnAoQQV+2X0eLp1bmdfseCTb3GLAwg
JmpfzSzQtupQC5YFFvBvXchLhvBF9F7fZLTkbhhb95x2tNMBikAawd1pD7JaoaNIH+9AzHS8qJrx
WDbWS0QJ24rf3DPwJ/D8Kd0WBbSdFfAi/Del9kA1WUGpxbAFNZdwzpUbbzDeQ1Xr13alvFEYCdU4
N7VNGTV7wyFlqCXHTNcOtQieg9BYAjzZEVf7ChKVRnrvrHbd3GnVWuthat8FZqNzWhnfYDkDjm1L
2iYdVa7dQXG3hda8wtKp99G8Fq3tNHofyfDtMffXV1Ho4w4+4bRISuKKQqTupuvqt3ma8HPLeO9M
Vg5EFWwfHrZLgWEcH0xYOBOokw3Gfw23nXdK5ERnY0qXRp4r49JwtGJt0NHuVy1pms6SE1Jwiye9
y3yPP3aK/XvVuOjwmb0uyro5TbgJl+M0jhvHLJHKB/1ehsFwyjQt3ulCR7jTRry2tWafw8HRrqmV
1xcrD1fkReMdyfzMDxG8skWQk7CzPfoXFrqSmd9qODUrvdXK72kXYldL7WJt4thjnY4f3hA6H42t
cJkYabKp+mFmFrT6SHTU6WjVGEb92Rnb2YYkhfoSW3HzVDUmHuw8TpLvgAQAq4ggJICD0x2CmT7U
5QYHfBQSLpACrjJntJxP6/Tj4C4/DnH740A3nCyMt+7HQd99HPrTxwVgRmeBEf64GJgflwR7vi+g
VDb/Hf1/7GP/s2mL6eTfTFvfQqi1r+PrP5m3+MSf85b+yeEpwj5WY3Ri9OcjP/N8Ho1Hls3h5wH/
//GR36xP9ic8ScTrPDL+ZO49RrHf5i3rk6qrCKJAWwBPO1RJ/JV5a54f/zRvqbPvh2YiF3GCqOAf
D2DQ01jzEK620pNmuNUrzIJEdKZBLjQvjt6HNMv2SFlDucOs096b2uiGK5sm0GkdeoHxWCUsiPPG
trm+2Sl8IBErnKxWT95oI5TIeJxvyqeg71WiGQrBbMPKATc7g+e2C9M0E29bUySbbtTRrcojVWwA
JbAx+5YV8iZxAzKyteVw5Hc8yLn8aMoDOYjq4LZO+1KalMdTt42dFAe9X+XuTeUcgY2nnseRgx9w
I3GwtO7kWwXsDMYAzHMqms0wPKpJ7TWsJbTpaEVc85e9yTqC+i13Y06Z2DqtpLJSj/VtYLnDMrQm
YzvGIwOkWXmUJox0fYpstK99ZHgPbuG5G2KN/YlWNM9PRtEtDM9QV4YUJVtksoV6ZDNC4ph66ggM
tLegGCi8rOripiFXY3Ip41GsClxvKle6IIaVn/fdFS8oGKUw5/l9rOIm6TeB23UGamDG7dPLK2o4
a2YCgDCKQfASSBuzTqiN+CKzDsjfddIAUt7JkHDZVTPp/mUKrQK5Tak7Clj8utq0a1VCf/ug6z3Y
JUmgdStyRNa05sKbvXQEP6wrjCFCNNrEphMakm6mbE71dFwYU92168Cuu43TqNG7WpQhGYVSeJtc
ttqTFdABvwzVMFwXSf3dI9zeKn110XNXPxZyJNJpqMpWwX71AjNmWIBXvfQDLXmIyg3n/CDYgsp+
KWhBurJ0YRlFc/qiyALuvVTp9pvazOt3g97GbaErUbyJuynWllmhVks4i+4D8ju8QcI53O1F3Lj3
FFmPxz5gFwlXz5qb0rL7JmXthSUHvgtFAhQpGcVedZitldoLV2rs0uU6zmgQbXoIwF6tu6qgdp60
22KuuIPrpd6FbusT7KvvRzOBZaHZ9Z3CoIcJn1wY0XI2jYAwR9KvBRkFSgv575sCvDoZWJ1rRIL9
YSTgeJQVF52ZuxM/8GptDwU2kcRXdeD3i9GLk90Ypn1JxrFd4j2wF1kZtruw69M7j3vP54a/LTNc
EWi1Dz2LJpKxH8jDTEoPokHOrB7hPA1xLK7VWGwKeFCrylOnJ+gG8bulK/1Kuk55L9qwRvFuE37v
s0aYhNVnx2uIqXAxP5XN+I2oLEmFctTFykX22KYK3VS2dJT0BWaDfd8XI+KDFqXOl3JstHqlCtvc
zZQmrAFDS1cKPHxb0duV1VXtWq1ktQGz21MKbcF20Aw6AAZszqYMs23mKXsV+gBPGDHQRKm2L4FK
i/CiDrNL6NEtXpdJziwceXezT+vV7Lug+cG++a8i/h8diyYC8b8+Fpev4jX/sAeDG/vHo3H+5J+i
+Oz9JbWu0WKDgvjL0eionzgSfzEMowL+djSiiht4kVxsqrqmI3//fjRiGAaniGCOyxY4K3zbv3A0
emiav56M5pzAx2cOuRXVk8w3X+jX0bSUStWbuWaukG6+t459dqS1KW3vIaEXGTQtSO8RB1NHdwt0
uiub2s/sHjet9yXqMXBqSnigtOIpbe1NGVtrTVFWyXFKMOX3BO6cjCVWd4p69Yms5yadZ8DJ2iST
3KolmSlsjFl50KRvt+7a7vncKj9midwCn9qltnG1pXW2bGPTV+bVDLSzySBJ9doQRkQHvRXKx72r
lPfTEKwCjlszYsIQ6iJrvk7Z/RjClhZQSAebID9V6qULvksctdI8/z/2zmM5diTN0q8yL4A0wKEc
y4lA6CAjqMUGxisIrYUDePr5wKqeuXmrKqfLetOLXqZlJhlEAI5fnPOdwhqfK9NaV11x5fHaEOpL
z8PACIkpC7HHGcM92SnWIwmf+0YllzywIJ5EHq5Iu9nPAWoYZo93+KP3ZtXCS7MHBPzeI9aa18Ti
kiHS2ZmBc4C1smGM+R0KDau//GxxAv1y5/2TAcPv7J2/fYkLfwc6FVPl38fJmKRFG+matQEY7oe8
T/CqnkNVX+xpuriNRlR2RETQ7G60nqwcvpm//gDWb/XVl7pcdx3G2ovMjxH5n+8iZAuUBSIONhTs
0Ebis+yb7aizEB4mG5BSJC5WkDq7PpjxUc7PQxGbZ/Tw2iF3kHS5q58TVMLtjPp6TW5HvHWNIN8E
5Xwes2YPI5WNomTqqRNPk8+olYH05f4OQhjQlgbLvVTZRpkeHW/m8MoJ7H3gmad6RIgFp5ldZSu+
T9ARVjDt73o93s0tchWevRezFqfAHW9k0p8KiJrHsq7C09f1+bcO0v+cieJf/lfL7/pvigShmP7X
5+RT1300H+myP/zTKclxs+BE+H//dkxK4w+dDQSzMkGzwE6EW+jvu0P3D9slhAJfxZ8TL0zjD4sz
EtmmBcnFc5aq/j/6B/kH/wLe3d96jmXL828cklDjfjslDRMFksEknNubMb5Op/LrKRkFjJRpDMSO
WWMOCBvrwIyQgWBzXJf2RzsFZFFOtMN1lepriGAQJPR0crAfW1jLlO2qs9eaMTFdOhDvBPhwVD31
c8EwgJgJ101tP3I480h8Hr5Fcd8d9CQ2l51FqMVrby6wJ5GMMx+0KZfpWgKiuodUYG6Lrp4vghOI
oRuEvgSSNfmZmMtXidOPaEUV+5eq+YmIAokgnmCk8XmMMNUz5K3e9fE55CnYTCLBFOz29TYn0BuF
VB5v2i6RpwSo7NqL5mZdG9R+EVDeHwlIRFCoDOJxkATWrpx6/cHFK35JK4eIbNbNfm6OZCBbZHwf
NSMWPo72ditmtxBrkwFRvAIh9ZFJgw+qwizZ5ZI9xyocplQhvhogMdq9vFNZAhG6ruClSqv6pudZ
fWulhJ/Nznvn6TdzSSA2I+M9x/V5GIB+2tNdpJFoYVv9FZ3+DX7Nxh8tF1x4w1PvhOQwSLgI21Jz
MqYlWl7RyIyq86M0cB47YIDITLIh0H0k6XeiTE7Q/uWqkrnlB/iwoViUst9GJExS53qNPqyKXpQf
OGOnm6lpgncvGW1QorK6ElyNFW6G6f6YMQM/NsnU7kdH02+wdxAjp3cmJH7Zpag7FmCKk4/ufmhr
d89GeXgaOGjhG7KgADY9M4cxNePMmls7lIKBWWt2ARgTW9AKOYKU0kK5L4oV0akAgAyRM0KG4nBF
wIPm8Y+YvfdG567cg/BYwk7tqNjppV28D8QtXdxS8t4kpuxbU5VvHUGyb543uzsMxul9jm75iiHb
eQY0lUE5jfQzYjX3jFAqRJnoRD4MszONXnge9LHYNrWp7T1dpTtS1MQdNkeM1CNKYLZfKXe0nbaL
eqW/BQmS3mSjxYQsS8W4NtzcOE/oFSEuG4n73LkCLEzrIRIhYn56ADg8HnLVGlessL0Fn7waPkxb
qiPvFwvtTpugf567d5UH6hxAQNjjhjIfW11qEa+JUiH/SZr3DINus06Tua3Xw6jZ9a2npzhLApVr
jW8Z+AdZcmmEKygo/4GS1V7r0hFJnsavIbhGXQcWIs9WCaiWVSRfRZ2OZDm1IWIL8jjMEgItLbhJ
Kt3RTYhh0mJdXjguUCqlsYhvkwj7t4T4fVXd3J0HltPX0RjQVQnXnh5gbRlHK+3aZfVqlN+Jwwwv
ekek7koYidgOTd1u4pERJ/kurnYiW4voFWWo0uCXFslFkAx2Ewxzem0bRbRkMBabLjMyRAvWuHdd
Bby101R1J0kvv0hGjucoh0oxVB3IgpYEuS2uGqa/pHzFZ5EEYuuWk3M2onY86U0X7fCvdWeC2NVN
RCv3blfwBXC94udci+mpQqsIVBsL9aPR5JDMxFzuAsVMgf6zebBZi/ixBaMnzox4h3KdZ2tSeXob
hJm6g3M/3lE8KGTwZdOtK5jD8BFId3S7vVbrDUmHQ4QsOdD37H+h9BORfjUcL7/Gtms/15qjngkB
LX8qk43bCoMLA45Zag8MMsVlaIX9bAS1xuqgUmg7FR5mYjoSFhEet3Rhmp+A2ySTclU926Vu+Bpk
yOc4AqNIom1PFK2bzRuTgew2QSaFfyuNtnobKbZKYbuurQbMgIYs88Fy82AbRbIjCUSq6VCmhXkO
83jeTblj74gEkpTfzeyHRkKKNekMr3AQ3G3div6eDVZw5R+DRcvnvsaK7OA8bKItkrH6VjgYexjo
F9/gZwxbhA35O4p8792TeX7tnSHesUTG0T6DX0pR9m3yoTEZIWuuOOB3rTdGnefW2s7S6Jji3D0C
sqhxccnmYM0G/GJMRmsSC7+LZpRwjNpjFdG4urzV8qB8r8y5HtEEuvdhzaY3H6cDxMvwsU6y4WfR
6sp3GnPcdY0qcCn0ojY2zjTjt9fJe4kYSqGF1hCphmxEzepcuVq3ni2owU3PRj2TDEmg8xR7O1kG
80TzWOZrMzVHG7DRjVEO+zxkWerG4Q1wj2bPUb0xJqZqeYLlEBEmHImG9gKqbVFt0L7HgJx128yO
qdm1rOIktogo6QtIgVE/btMuyQ4MAZa/xQiLTTMiG2XH9Y6AiZO5L13UdMocAR7pmMuadp783hLz
RtTK3hZePtybGvaODWI1bz8aFUJYTCcMJUYW0GTPzfi7srxvr+Asqm9Vb6YUqmRCgNTKj2PF5UGs
a4MGyU3u2Mq6YWBnsrQLYI20xXQylNh15jzvnWGcqX9F9orH/8cyzszy4CMa3XavcrouWWj7rmwB
TYTr2i5BdhtWuR4tzbxv8bAcraTUHyysF3LVaMl4iVxIoivivkAV2pFu+fCZDGI3yfkiUkj7HIPG
ORoCVBbPR31GxtDvTVJmeM305Y+8y4e9FBW7dlHNH01k0ztGxXURUy22k3kTDnnwwBeQc00RokB4
RX4vBVkeVltHt0aIYJT/0IReNLIB0ufyCntbP7PdzF8VIaGbIWJ5uta1Yai2SuBiEU7HoMfDifuZ
a6YJ+V0jYzVNLaSZJsz/OJQqZnFcONYOdGV0KMjphoiRQqiMRmvYF4xldFA8hZOR0lqU99QXcXGT
hZoW+VpO6idIRHMdHfSWYaAv6jpRF28cmyNzvgzbpRn/zDlxplUEN3OdjTUAH9OJn0zc/JuEcpcQ
QMPAMjBgDxF4/Phn19znQRRvzUSAlS1jBqcgete1FPFez2OxIeeguodpclmCVwrkkvzC9tCUY+n3
JEOtpD6CFqC0AIOQhuumVeMPFY/jp6rEjza2m3c3Gz6catDhjlhhefG00CGkre/2sxvH66I01dk1
G0welT6cZks0RBwAW3HbiCixjNdTq/fm0azlo5gVWm8BkF70mvSDpmj9qAW6nFVt6NuZXWyjto9P
SVGoS2cE2o7QbY0BY97tgEc6SBzQSjsgdn4AxMLu2zA7KKLZ5Gvo88fYLuFNmjK86mzvdu08dFst
QYKD9tZ5CN0QIlPBq3OdiDnxbavLcCwNXnicNHfYti6ohgZLzjcjGcYNc4DgmsdQLgh1d9cNRxR6
4cS+7cn6WWtZQJhJDVw2yEwEu0oWHpCJeLQ3c4bW1iYhqVyLWLmbKNCjbdK5QUh1pWhRvdI6ubIZ
NkYzWvt8dIyHoPOiTVPpxN6yct3bk5Xu0kkZBDqEJZ4Z3KYpcSmHOAvKq6sy8BG9MwsIV7oWv9px
0+1rlSIwIvrHHwV8BSsu3JV0Z+uZFx1OJqeRdAexIzYWiRXH2Mjl3g06dOlwQj9lkcobp7WzpyEt
8h2sNn3D0l3s59SyD149WVsmwfqhGCpY9mng8aqZCI2kGjCxARTjudW7O1tvt9SpmHtccJ8ya160
oPQZCEW3w6S9IdqPVmZY4kEqaKsd2cDeL2laKsdt15XQx2OF33bTBLihVqMFibdfmFWgEAjJ4sbA
mZZ3mbrXU7hMujXb/hR2AX8BUCuyaYPjL53lP5mDiH+YQ/zep/02h9AIP02UTjYPtDSkXqad+hqE
UVB7Mt4KOyl9kkO1JyDQ4yM+F+91kkN1EdEcnuQk6rcgZiVrsbUgHdcW4S7qp+pxNL15q9tkcJCM
BW2r8bQreW4i4qGNRUpBu+TEehalBBDp+JURINnCcVYQdSO6YlcN5DxDASIWJNa+h04Z+qZGBoWW
wFVnqfzc1y3Zq11lE0noGa+i79FVG5jOk9pDMbDA4YrUtm+tLGVGbJuN7eeo/7D2uO47lXq4s8WA
KidRH+VgX/uOBRYVympKyfzGRzP59hxNd0NfkD+SzmdUIi4VuIT1gf4NqE2KyNVh+tzMHNthY/8Q
XQ3IQ4P5yss9pyjcDJpRvswiz4TPjhzyfRM5wzlw3ekQwT80sWQL564s2+HSwo5dAOVGgEsiFT8R
HcQ/qmAe0MBp6LqA/dyXc8roBjc4OXYOy6NyGpyT1fXa3hZk67bJXNbQzrHhEWeujz+Hdnxto7kG
BWfHW6vJMyQqdbYdQnonB/TSyiQUhv2bTV5Bzf7GJUIO2FdfDu2GzVd8mdOCNzQEnWNA/3qNwRaj
PhmH+J4H3TuM3qgOorQwXYB7wtY9tZ/oECgFc6XGxyhXNsxI6gVShuqid9eSmIGzWOrs4avkzr7K
b7FU4ryFKcpJbiSqp6vFVqeXJ6RORdHFXCp5XA2cTXKp742vSp9wcEyiS/2vNNmdvaUnSJfuIFv6
hD4bBJmvIalYbUJKXFV6LYEiNBjNV6/hUJlxGC0tiPnVjfRLYwKRRF3zr24F6PO4U03Ey9pRYi2j
ySOBp6+1TRgxG/S+Wh751f4YblNU+652R1wDjnEcG5tFkFUlfOEpNy57RkIEbcP9gNOEigmFKhk9
Q3e1GLXtJoltlUOMfmuu54cK44WfadW9JuJ4X2lcMBM0xD17HIv8GCplbWrhpZaUwkcXgPtpiGjS
rCZAQtAnPRlrkjIMX0dHVhdCkRe2c/a6R0h+9SQE5JrvYCL9j5aRHC4EQ199JBzF9CZKOyYFNJkk
3CRr9dV5Ol9dqLc0pBXrll29NKn90q6yWGLnSAdbLa0sjl++9qW95UMujS4tb7M0vyRNDFd4rek9
xlp3Z2uhfCus+m0EdfXNWRrofmml56WpLpb2Wn512iD2p320tN/e0ohPXz15trTn+dKos/YUJ9IO
3JdxaeO7r44et0gAg4E2f14a/oRDOg8wRHW4M3P89MtkIF2GBP0yLrCXwYHoes//6xP1C4f8i1AZ
0KQgTJZwW8ZvKNi+hMy/KNdaD3Qq0TXabuqkdSxg4HQikGT4ad5GLOke8HPtq24t2EY26WRyxb29
G4RrvLXYcUitQo30Yxp6dSRObTpp0kB4yDTvlcKgfDZlde7josVsRXgJxZO6bwgOAsKuVSnfaWIu
nlMil8imb2kFugTDlRNq7rGVLIqRevKpTE8MVFbBXHwQ65URBNQ5Eavf5SBLv8605Ot8m7/OOuvr
3IuWI9BbDsO/vmBfvsM/XbCvSSHFtFjGXK79m7LbI79msnAC76CsPsyv5mv9ob3W9+q2vcO6XFy0
7Pavf6P1m5bc4p1n6CBdFsAMR6X7229UDFhADMXBDi1T8C3DItWx90+m23SMZ7Gmkq5OzVSzSzTC
NPpm2DP5eUzjP9mWj+ZqmuJgWyQKa7hwqag3c2DyDhcEqug7Eue0FwzJziOSel51TlEiq04tV6KZ
TadmP9ZlfcZ9mx4dFG8HKhnOJ8YpK8fFhTjOCKkoPxk25MkWWnq9nVBen2Rpz++gdINDi/DzMNS2
3HVTpj3lMf5lgLLpHXax8CSynuwVyEfVQ+Q5M0vOOEnhUY4kOo1x80xo03J+5SJ7+bqo/9bA/r/C
fPhvPK3/S7HPMfpo/uWs/v+qfaT7h4dnAWX37z4fuRAdMNdY2CT+ZPPBWyEk2lfybPBkYPGkMvuP
Wb3xh8ezwkLTxeBmO86/tdB0cQX9eaOJPQNcEkYkfhwr1wVg8eusXs91VNfaNO/II2BsTXZBWXA2
GYy1297uPeb2gfPCY6pnfts4MU9DmxLkEU5NaPhgK9nzBVU9PCgdjcjKtTt722VafiPHfqHERd19
CZFzVRglMhsosTjwJlj7ETFUJz5Q7mOIVnvl9Y66mZhMjmen1JtTFZZFfLFBwXo0rYSY0O8mLuhv
123FJonK7B5buT2tZkKpoLS5s4netNYLb0dwNsYQQt9A/sL2BNtHhqXc615hD/t0CJL7obfrfU1b
lBLQVbwCXhq9dU/EwA/+OJ5YiQAQcKDZP7qtgwxeaLCgFrtEsFN25SZrFAwAgxV8iS077AErhFm7
5TaelVWSRR3Et3GH8wE3BXN6P3SrWT9SqRH7F6iRMQDUs8DdJxi19b010w9ugsaKOWMd5YxrUiW1
dwDeHjbKbIrPZQBcrma6cAa+YZGuWpZufBoFrGJfZhPG5dx0USunTdPCvx0C+Rqqsn/LRKos1htd
+VMAh/mMLBckAqVzdQ7Q8t6MChfyisS7tl71JFUwRK7GdG9oQpHoqw13yE7y72YeaWQ0J1GYbSbi
e19bgrk0P0BWXO4sbANXQBBMXIQVZuwzW+Z5a4aa2WNpZgP1Bm6BZs0KoioBFErj06l0b1klGNkb
pmXiQ3oNizxZrTMOGDyQjBAqFgOYKlNsjn2AOcPABLM1KnDeomkXzLFWXaOBCZbZlfV9lEj9tkav
o62SOcmVn9m23KR2Xn3obTcifE3MHurAJNYc0+lRQ6+0cay0AlVcgfaN6WpW81RMu86qy21pG9M2
CtMRDWcw3ehhgRiNCfzzWJUxGVoJ2yNzxucqdSlfKTPmB6McxyuO4pYVDkyI1PDUJTE49bPUxrhQ
1elNbyCK7flZrMNINiVnF3F120kGYoW+QKjFRs2NwDESzzcaA7GFUx4cCScv9yKPiHQ3iUXBy50/
NwYU5VKaT47JEoi0AKzFXrWqhxOVBHc+G6sJuC/sWW/AtBNH/KWq1yXegbg9ofDS/YDR3lMVFjjn
+348ml2xMIjnYV3rS06FMzXe2iD7FA6pCMKrATThzhQDuNqC6Rf3urkjmcKt/Iji7VMqq7vrg0r4
SW8bD+SrzM+L/nefuXJiyJTULqq3sSqeMzqKF/TM1XNadv0nrMDk2TXsg6Nkv7dSfnai01Wu27Rz
rmiH6rda5O1dkVvGB7ZnIj5r4XoPImYSVUQYTdZJTouz8jhTiNRMTGI4zInRMNvHDzUn3bSqtNZ6
EqJmZjBkqd+oIUcQkbgXXIvOe0JJv4lyO8DSgVLt3pQupO8qJh8SmuMPtw2YV5W1LkgC0+zpkrgF
oBJPT6pPEdfG83IjPJqzO39GrlKVL5WePZFC495N+bjgisnNG6Mub9ZsMhR/J+hCPwN592YSW6Tt
egJBbd/LsuAW7lZ/nDgj7gPWNj/zKAWPwOByeknJeyGdh6N5b4KKwhdsBuZn2pR4toG8LNmkqXAe
ERPCi+/pAtdzZofUhmHx4SAf/yloZhGFySq76rEzCNYDRYMJQo5n+vYOcvIcz9ux6jyfIBB6dBzp
MNFpy9iIQX+kINrSB4A6sAKrOTLNrSu/yWh5/MLo530Gw71mFhv1S7WawcpIeUgqxyb5WnaivQ9F
Vu/icozK1RD37UPCzHjjOIT/0sw5J9PJgvsws6w3ZmbpsdDn4F1T7YNewSVIwh4lV6VPyR2u+zTf
lyqNV0NLe70KTORtVK2kGKLcEwfDmMyzk8ruJqtxsq0YN0aX1B69W7SzdGDJrPVciMya75TThmov
sI49ACLNHqMhtN9FgsJtGEL3xKpVv2Ocpo4xhSTCevZScdrnMG1JTN6k6ehd8mKa9kMJ/YEmSiPz
oh8KuEG6ijWAzJ2DyyOuY3utHByIPAriyYna8i6sE4q1bnCOAJLzj5GUrQ/QzD32G53PrEyz+WF0
ZKBDWBWPg0Fq9GwVxJfXkQQZ01TfwyBUH6DmGECEpg38JdXYZq3mQTV7Z4rhRsTdYmIxis+gLZuU
SbUr4RiR7DTQxU2+sFv7wIqrPCcqNQHULFd0MuNo5Sq73HaI6g8RVf+d5loa+Qq6zKttPKa8byUx
WbcemQEgKQw7N1aRGhT73IwBQZSL4D7qJsxWA+Cxi5H2tNGltAg0BRvMfi22EoYS8XTXwNDhzd60
zV1Rurm3bunTsUolOLBShqRnsLk1L6/BSW/bdgxBX+TlMbLbDA4e0+AfLnjodoVAUOnrwDTjE2wQ
5W2FGPQnx83iZ97ZGP2auELg73rlQI+p2acskzgpkFETjYZ8hg4ePoPEeVdgoOm1UxYHs36Ih7Z4
NAsSRTFstMlprjXdOkXFZL6Ule6MPmjpQ9w6TrWy2wJ381Knd6Ur7kddiqPlRek2aHWSRGUIvaGc
1XUuWi6Ix6G70tyue7GJ6vqM5DC/6KpxdhkBFYd2lhBRZ1nce0Ftnd3GpIuYnNZZnIkRWUIK0A4x
BpYdsPiqmAZHUXybBXX6UuIJh/XBNdsFTFwATrdedvamXr55M86hMXZeyWiqdpOTjgRJWtzOoQXz
qamsRw0jwyGCbo2DEHEEC1m3dZ/Yf/XFpoIesGNDkb0Voa6eBUdntUpEU508UOmbqJt1XKOzGHHQ
ZtHRiUsyMidNLsMcZxcE2jbGIleTDIfylX348D4JbEKQFS1nDRE8fZPT4ooCxiv3TaDLWxMmumBN
rg8/A7v1Nv2YrBsKo41exSYEqHZxPMs9JsoUuEVqn4xOPsIea3bKGx4Md6heGtS0u8FqkAm7g+TE
SgZb341ai9uuzMLsIeY2ealHHRoLO989ESdDvoF9FcP284bxSPCBl6zLvurCDfxq69Vru+lb5bJ3
QEkds5dSmcepnuSwAkmrqIII2zGFjh5mTHv5mufVGPR2y7FdZW9x7SguojfQoAten7sgEQbUC6Lt
ky+Ivbfw7MtJ064OiHvoHe41XKj38RcAH+ukeegtBZvnC5BfLaz8aqHmI+g198lC0k8gf2xD0orX
GcFWj8o6BIvkdobuWGFbuWlznaGIrqwN2VesSTydnruI8kNO8PUas2h4bWVX+Zpj3Lo5wWMI94NV
3ejqLljA/+kSAYAYgTSAzuAdu1JfKQFurVx/WKID+iVEwGD9cg7rnB2I1i5RAznRKzfNTLG4amhn
nu2vWIL5K6JATIUGd4kCkZCAxpG+ueQZ1Jx1vMEm+75y2Vz5izvN3Bp1kQ2rQJOehl+GdAQ2wN6t
IpTjGrpLeAJxEZPJITbOR5YP9WvrGM6TRCN/doh2Q0hRDM5z65T2HYcdW5uctMA3HmB9a06KsEiW
YogVlzAHd4l1qFKbsA0+p/CZtcij4A//9JwBh3WkQpfpNvXmoVA5cRHZV3QEqplW31dLooTZmoRL
5FllFpyak6H5fcvmfRUimIfoyfqGMJ0wRIHZt6QZox2wBQxoS/vQNKt9KMJgNtcdNbtfAVW+zG7W
v5WuQ7hrTSjwTS9dFubSgdKVaJQ4kzXoF9k62VvLFKMjggf/xaUtIp3k3brObN+OLPIoPHzZZIIM
I14MvYjYuowVe06eCI9MiEF4LwGY0WA1uAFqnRTGCTM3xu0ldCNLW5gwk06KxWy8tC3T7l3n6PLk
TUx8WTmF8VOpyXzCH9bApGRjan22aNTLXcWEedoGOmF3TB9l2PnsDNvo0pkWLUeWlWSiyMiYeell
Hg4sOd3zzKiVbeYt9vBoptbg9D910bBv+rw4jYh0XziW7Hun5HUQJ4F3KoapexjhizHDz+YXNYeu
RlRJPEJFwvmwbiI9Q21RO7PzP3ao/5QdCoW2pzsEUQhrEVbbyLZ/mcX9A/zynxOi/9f/Bhn9L9Xh
//RX/F0oDj6aoSFSEcu2uWsMpNp/V0AuQnEDvTf86MVCtXBVfhGKo37keDB1Pja77v83V9FRVJKf
i/qcMS4/Uv47GkjDXDSOv042/6YU13llOBYYJ48P8etcpQ4SlYTObCGGeuqn8sZ7NLbhliE2flZ4
RHKRQKN/uTefCl66PXCjp7aOwc++BGPnx4G2loOFKjJ/9wJSrCJIQmjWtC2b1d1QyVXQ5odIfptG
mO1VSEpB/NKrd8rZjTaxzdfnB7PS4GZOWLebrakdK/nZENS1R7Y3iNvwB6ZwoILniWlEoW7Kpl8H
zmdeOOu0gXhABWk4RJIh+PAwbA554U/EgGXRtMsdGBckYSOPSLa2ttOdpNkmRhfyusxux+i9IJvb
KdQ3Bi5Pbaff5fXMliB0JU/0VG1a5idW8b3LLo4ccEMPaccyjp46JFOGQgFjsXLFleCfhzAjj8ps
tvok9kvFAoUgIwjibI6YXtqqurQ9xW0dNsAetM2SI4pgC7t2krDNLH/a9NbrorbedLSYfE2bocRg
6dE/BQofe7qdrGnddKOfOI0P3ePGjLtr55gQ/Mzvqetcx5LPyjvGXlWGwBYzccTNW5FjJsejxhTH
ovx1MOw4rNlJw4qvYV71oNpaJgEyvq1BHCfjzS+PzT/Z2xr/MDVfnjsCZHXXwCbhsmf4872FKrYl
+4ydwjjnT03HJt6y2us42PuIKonE4NrPXOfYpcUuqy5sO3a2YZ0IA+t9jKQY5NuBoV3gHZw4w5ij
U6GpbZMQC9MH5tUcSiw49oNp2azlktavKa7r4qT31q6pihPTEVJH6faW/Pb5zs6ivXTxBRnebcdX
SAbVp9XY93b6pnGZqYHWwGG3YZJiPovWiFpYmS9msvYsPXjSCDXCRtszIbs2drMdTOs66d7ZsRAp
kXThjQi4ou4xwRnMLYkH6GgZ7w4QDRhiR47zW71kzqeVcFtcdyTRm7uSSIFtNaCrL27cGrUKtBA7
l9/ybtpnmb4P1UKf0xDGp/18nsduQ+7rx1TZ27JgmcIPxKMf01wYEyIe60WIEMrKo2iam4YYCYzu
j8X4Pif2eKrEhOCL7IS3OjBZg+OKo5jeRJWBKYpbRDnWliZ0X9PT6SOfccinSwjQELt7SePfmf2p
VjW98vz+17eJWDYZfzqBuEtAPppMoUBJeV/b/1+WUXOpyxQhWbBxyvRnqPUvAZcvaIz3uomgijds
U5v7Okhv5364hG1zSNR4G5O2Y6RtDUjFRS3oJX7SVuBTvEskyGmNu/tWerAXOwrXaPis7OL/c3cz
+/7tc2P7QTkOmsPmBWOgOfzz3d2CnakGA2Z37TYunQacNFjAM7MfcmBZLYISDwj/2oH5BA7i7DXk
VLSi/QdsemZMuzrKppWrzTa0O3TnFZDRkxEKHJQx5k1gEsIBhBsPDxysOzMbr3HSP1Sa8TQjL8Yb
8iO0x4fcahkuyM4vI/zT6AD4xU5XbkYpORoH8an39GNh12nscxBdJnOFVK1S99EwXBlmnSonCFex
U4DdDjC+Od47UANjxX7w0TGyC2G4rNvt6pOEkmhjm9Wj6rRPLzKztYydT3avD62TvMIw2DVDy/re
+Kwy+jDMpV7BJwjrQ0OfNpNtSKLXM6PpHWJJb+U23xTMiQn9X5mrDbhlmjYgtdE6Tu2XoiLPB72H
xXgnt7sb1DXXtuPtUek0EBLihkH8UtT3Lxh7nph6cY5br3NaP4XxeCFWe/aHHsmh1u3NpF7Xob63
6+LBjtRep+GBFfQ90KuHDCJBL4ggQ/TRJDb2RXkNC/0AdO+qLKRhmXzIDcFwN3d8dpkbD9V8TApX
GOlbvvqzbuBPGRRvmfgFndh+cBHkuoREMY4tz10wb8DTbkleW2cuQ572NZkfFkMTRBM/6k9elR6S
InhpuIS7iYhl8mOIz0P5I9N5EzG2R/IG2DeKFkrIFR6HT87SW50DkSaHqdgL+Inr2UQalzhu95Lk
7l0JmHGlYRgqmKwybxzQzSa4hy1Uq+IzljntlvditcAEtPIH7pstCafIxkntLngMIdSU165O96RY
bZMSB6Vy7tMwOVliUj6qjlWN9BzdlcH/3/le2W9RL/hB2Ba8mV4TofbmOO7zntyBtIiZfHX5kxkV
r2Frn8fGfM4AAq1s59We68cx77sNd/WhDtzPWZinAJzbRqEwQrIenqbRQe/RTZOP9zfb2NZ8Zje+
IrDtglCm2bmN/mEBMNmQTHpfmtNHWmMMRcP7qmfwFA1W0esYbH5jdU/DLI+DizbV1OONlh5SdMIY
Rgp6xHEtouTRaJ3XXvQnfRy/5SPbH61AUp2Ze00xRdH1aw7MFFnycw7JUDbwqCzv3um1mzB9QxXB
8KhfeySStUN8Z5IxOHG3W0xf55hkRa7YOHqU/SZah3hXdqh8jPo+0L4Nqfz0Zv19BIOJ0XVr9N73
hJSAOCdgPrTt+8D7mTMhc72Npd028rYybm3zUvT3GF2vDcSS3qTVMe+HiRjVRD7lY8tcn5EAskSs
6jB7mKIkP9MY7qxi29C+ut6jsskDGuGlZp/45H1DvPXhw/9h7tyW00aCMPwqqVzs1UJJQuhQW0nV
Yogdx97YCbXJXrlkpKADQrYOxvD0+40ODrIxdhhqF+5AokfTmp6Z7un+f3NKxpmVDiz9kqA46NfQ
HBQaw6VzHiqQ/AQ3A391pnDiZC6hOmONCqiEJaG5r8ejqCQOhZve+KwuJlASQPLW+54XFjF67DrS
vlv2RXy/gPTnUhEMVcyV326vtOiooH55GlwvKCSJix/3YULptX193+vNPth32XXnxjgJ0ukJvrB7
B605FAw+Pl9iAwoeTQd9ezEkTDPI7cT6GPoUp5AZlg2tafx3sAQU+F5b6m4n1dSBRaZjApDPhwV4
lBCsjv3prTlcherYjjr/JMvltyRajVf34cXqKjdJlwflujfvwd6RR7PRfGbNRxC+F8O7xXySFKtj
a2We5JxTw6JHNIXEWfZV9187OpArqQIJOX5sTOpWTkChUFMi6leg3+YcPBnmdXx3d0rtg2ctizF0
sTdHt6F2EobAnCYEe2G5iKPRlSnyMKBbDe/y8ay3YmsXj9ion4GX+SNS4KZQj6e5capzkqcm6Tnl
1My+pBbf9gEPyI/JzNSGOoHnDxCskX5DptOQLP0A7ty0c5Tpds6pT2c5+N1fXWkzoGDs0U3fvoi0
UBmwAyOiE3+Hp4hK64TY6DS7+tLz1VN0AxG8vRTYL9TdJSaQTua8gM0LQBiAxoyv+zqylziMrxMG
hOs3KuELLwsvXX7xAEfI4eWuuF7E1YskmOfjZLebtguqqRVeqFmGpURh39EqxCsfqnzibTJmTh7k
hQvlEYCbFriYfVujvhPs42n9u9nvkgJkwbrN+b34VA2tKee57m/vWaXH7fe0nhxzmedC/1Ooblrl
hMKjeE3fH0n42XdN6xKSIiUZTKDyg+u/rgJbVF0buvDfyw9ZBbT336vAcWMgoIBpSINJvq4COIRU
XPbXKOGRjDUlAHPZJ/ahmO0BIBI+TEaYLsBaxKdq6IB6T0xCEHtI9V5VuqRQCXw2JK2/ewOyespS
sYFqaBCYObB3T82s7LtXKcBl9Cs4V+3eW/TeFGg8jInD6raIlr3S7p8f8kaXNCEgEKgT2WT3WITO
gCdnqbr8f019jzpQxTM/uu/e6uAqV5PRo9XoFyZ+1e7qBFEENvNGJRhdvFabQ6HS+A/Q/DVVBAOk
rF8zWABITqPuue5lywxsrWtRdmlD61ddPriBYLIB0HrV3LT7UGAdNGyNVZDkh032oHZh21DEWlOp
4eDWQY0VWnpSULp9EtVIY6x7SVR9bUGw9K5OJRwA07W5HNxy2CPuzzQuaxA2hyC86mogKO0dkYWO
yGehuvxQDUI1qLaQVIIKkDjZ1Zr+jDkwM5L5DIPjryvhFbunBxcDQviZWzoXgZdt8kGeu6HZXD+9
Xm+sxRIi4vGtG4WvUbVdrTPi+/vWClTufNcuNjvhsp3673UHnzbdaqvpVfPjSeClTjqBg7N0uOrH
rDhZOVrzIWW9SB3Xy/z13a8KKnvzfaOn9GAKW+VnmRM3YoRmqnXlZz/fvW1pYW1wbRM7CEirXhdL
RQLztKzYEyddOnOnEVS+SZAOmJGlJQexMwH1caOmwfchgC3bxKkTx8Wb35z45o83nxwqS4OWhrAo
MYvLtvLJSed451FbSdW8IC2bcTp7JLh0QmQFnzlR5jvuwvNuGg2U79YEvbL5Yfcxfu64/nKzDQk6
BPkGPrsBj9/IKa2oWpJl9XJRuMXE98jNbAk3egIPS174PHSuGznlU1cRFVnBX5zQyXLwj1qyK89F
VvbXIIqC1oTF2Zjw02QFj504mEF87RaNLKER2KiFmykrvISE2jS11LsWWfnfvCx/M/DmUJM2D1s+
fRUgkZV+7jCZM2HlaWuM126YrPTjIkR6K7DzsK+Xlp20nljIpayvUdHuMwqr8gMY4l/BJLmGLf1j
Jmhhs0a40D/bJFUV/rpsP/4kgfX55QlSdsoV9zFRBqskbW8HEC34Yfawwo7J0i3aI6gWvgfr3ZyY
1ChevIuyLZKJmt92f/kvMACXe7jdpW+n+pEV/gKytaT4oTfzg0bBtdJJ8NL3YHHPppfxXkUTe1gP
X2T8ktTOke87eR5kTzjFDLUEBtyDGZTrzHboQclOvFguKSl/7DGLTh/v8Q2V+kY8zmZs7W5eZ46L
fho55SRNObGikUYIlrvIKKREp7m8ezOb56NdEiW36nOTv/lwRPPUC21Onzb9re1iizsmM89J3/8L
AAD//w==</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xml><?xml version="1.0" encoding="utf-8"?>
<cs:colorStyle xmlns:cs="http://schemas.microsoft.com/office/drawing/2012/chartStyle" xmlns:a="http://schemas.openxmlformats.org/drawingml/2006/main" meth="withinLinearReversed" id="23">
  <a:schemeClr val="accent3"/>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6.svg"/><Relationship Id="rId3" Type="http://schemas.openxmlformats.org/officeDocument/2006/relationships/chart" Target="../charts/chart2.xml"/><Relationship Id="rId7" Type="http://schemas.openxmlformats.org/officeDocument/2006/relationships/chart" Target="../charts/chart5.xml"/><Relationship Id="rId12" Type="http://schemas.openxmlformats.org/officeDocument/2006/relationships/image" Target="../media/image5.png"/><Relationship Id="rId2" Type="http://schemas.openxmlformats.org/officeDocument/2006/relationships/chart" Target="../charts/chart1.xml"/><Relationship Id="rId16" Type="http://schemas.openxmlformats.org/officeDocument/2006/relationships/hyperlink" Target="#RAINFALL!A1"/><Relationship Id="rId1" Type="http://schemas.openxmlformats.org/officeDocument/2006/relationships/hyperlink" Target="#HUMIDITY!A1"/><Relationship Id="rId6" Type="http://schemas.microsoft.com/office/2014/relationships/chartEx" Target="../charts/chartEx1.xml"/><Relationship Id="rId11" Type="http://schemas.openxmlformats.org/officeDocument/2006/relationships/image" Target="../media/image4.svg"/><Relationship Id="rId5" Type="http://schemas.openxmlformats.org/officeDocument/2006/relationships/chart" Target="../charts/chart4.xml"/><Relationship Id="rId15" Type="http://schemas.openxmlformats.org/officeDocument/2006/relationships/hyperlink" Target="#WEATHER!A1"/><Relationship Id="rId10" Type="http://schemas.openxmlformats.org/officeDocument/2006/relationships/image" Target="../media/image3.png"/><Relationship Id="rId4" Type="http://schemas.openxmlformats.org/officeDocument/2006/relationships/chart" Target="../charts/chart3.xml"/><Relationship Id="rId9" Type="http://schemas.openxmlformats.org/officeDocument/2006/relationships/image" Target="../media/image2.svg"/><Relationship Id="rId14" Type="http://schemas.openxmlformats.org/officeDocument/2006/relationships/hyperlink" Target="#TEMPERATURE!A1"/></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0.xml"/><Relationship Id="rId5" Type="http://schemas.microsoft.com/office/2014/relationships/chartEx" Target="../charts/chartEx2.xml"/><Relationship Id="rId4" Type="http://schemas.openxmlformats.org/officeDocument/2006/relationships/chart" Target="../charts/chart9.xml"/></Relationships>
</file>

<file path=xl/drawings/_rels/drawing3.xml.rels><?xml version="1.0" encoding="UTF-8" standalone="yes"?>
<Relationships xmlns="http://schemas.openxmlformats.org/package/2006/relationships"><Relationship Id="rId8" Type="http://schemas.openxmlformats.org/officeDocument/2006/relationships/hyperlink" Target="#WEATHER!A1"/><Relationship Id="rId3" Type="http://schemas.openxmlformats.org/officeDocument/2006/relationships/image" Target="../media/image2.svg"/><Relationship Id="rId7" Type="http://schemas.openxmlformats.org/officeDocument/2006/relationships/image" Target="../media/image6.svg"/><Relationship Id="rId2" Type="http://schemas.openxmlformats.org/officeDocument/2006/relationships/image" Target="../media/image1.png"/><Relationship Id="rId1" Type="http://schemas.openxmlformats.org/officeDocument/2006/relationships/hyperlink" Target="#HUMIDITY!A1"/><Relationship Id="rId6" Type="http://schemas.openxmlformats.org/officeDocument/2006/relationships/image" Target="../media/image5.png"/><Relationship Id="rId5" Type="http://schemas.openxmlformats.org/officeDocument/2006/relationships/image" Target="../media/image4.svg"/><Relationship Id="rId10" Type="http://schemas.openxmlformats.org/officeDocument/2006/relationships/chart" Target="../charts/chart11.xml"/><Relationship Id="rId4" Type="http://schemas.openxmlformats.org/officeDocument/2006/relationships/image" Target="../media/image3.png"/><Relationship Id="rId9" Type="http://schemas.openxmlformats.org/officeDocument/2006/relationships/image" Target="../media/image7.png"/></Relationships>
</file>

<file path=xl/drawings/_rels/drawing4.xml.rels><?xml version="1.0" encoding="UTF-8" standalone="yes"?>
<Relationships xmlns="http://schemas.openxmlformats.org/package/2006/relationships"><Relationship Id="rId8" Type="http://schemas.openxmlformats.org/officeDocument/2006/relationships/hyperlink" Target="#TEMPERATURE!A1"/><Relationship Id="rId13" Type="http://schemas.openxmlformats.org/officeDocument/2006/relationships/image" Target="../media/image8.png"/><Relationship Id="rId3" Type="http://schemas.openxmlformats.org/officeDocument/2006/relationships/image" Target="../media/image2.svg"/><Relationship Id="rId7" Type="http://schemas.openxmlformats.org/officeDocument/2006/relationships/image" Target="../media/image6.svg"/><Relationship Id="rId12" Type="http://schemas.openxmlformats.org/officeDocument/2006/relationships/hyperlink" Target="#HUMIDITY!A1"/><Relationship Id="rId2" Type="http://schemas.openxmlformats.org/officeDocument/2006/relationships/image" Target="../media/image1.png"/><Relationship Id="rId1" Type="http://schemas.openxmlformats.org/officeDocument/2006/relationships/chart" Target="../charts/chart12.xml"/><Relationship Id="rId6" Type="http://schemas.openxmlformats.org/officeDocument/2006/relationships/image" Target="../media/image5.png"/><Relationship Id="rId11" Type="http://schemas.openxmlformats.org/officeDocument/2006/relationships/hyperlink" Target="#'DASH BAORD'!A1"/><Relationship Id="rId5" Type="http://schemas.openxmlformats.org/officeDocument/2006/relationships/image" Target="../media/image4.svg"/><Relationship Id="rId10" Type="http://schemas.openxmlformats.org/officeDocument/2006/relationships/hyperlink" Target="#WEATHER!A1"/><Relationship Id="rId4" Type="http://schemas.openxmlformats.org/officeDocument/2006/relationships/image" Target="../media/image3.png"/><Relationship Id="rId9" Type="http://schemas.openxmlformats.org/officeDocument/2006/relationships/hyperlink" Target="#RAINFALL!A1"/></Relationships>
</file>

<file path=xl/drawings/_rels/drawing5.xml.rels><?xml version="1.0" encoding="UTF-8" standalone="yes"?>
<Relationships xmlns="http://schemas.openxmlformats.org/package/2006/relationships"><Relationship Id="rId8" Type="http://schemas.openxmlformats.org/officeDocument/2006/relationships/image" Target="../media/image6.svg"/><Relationship Id="rId3" Type="http://schemas.openxmlformats.org/officeDocument/2006/relationships/image" Target="../media/image1.png"/><Relationship Id="rId7" Type="http://schemas.openxmlformats.org/officeDocument/2006/relationships/image" Target="../media/image5.png"/><Relationship Id="rId12" Type="http://schemas.openxmlformats.org/officeDocument/2006/relationships/image" Target="../media/image9.png"/><Relationship Id="rId2" Type="http://schemas.openxmlformats.org/officeDocument/2006/relationships/chart" Target="../charts/chart13.xml"/><Relationship Id="rId1" Type="http://schemas.openxmlformats.org/officeDocument/2006/relationships/hyperlink" Target="#RAINFALL!A1"/><Relationship Id="rId6" Type="http://schemas.openxmlformats.org/officeDocument/2006/relationships/image" Target="../media/image4.svg"/><Relationship Id="rId11" Type="http://schemas.openxmlformats.org/officeDocument/2006/relationships/hyperlink" Target="#TEMPERATURE!A1"/><Relationship Id="rId5" Type="http://schemas.openxmlformats.org/officeDocument/2006/relationships/image" Target="../media/image3.png"/><Relationship Id="rId10" Type="http://schemas.openxmlformats.org/officeDocument/2006/relationships/hyperlink" Target="#HUMIDITY!A1"/><Relationship Id="rId4" Type="http://schemas.openxmlformats.org/officeDocument/2006/relationships/image" Target="../media/image2.svg"/><Relationship Id="rId9" Type="http://schemas.openxmlformats.org/officeDocument/2006/relationships/hyperlink" Target="#'DASH BAORD'!A1"/></Relationships>
</file>

<file path=xl/drawings/_rels/drawing6.xml.rels><?xml version="1.0" encoding="UTF-8" standalone="yes"?>
<Relationships xmlns="http://schemas.openxmlformats.org/package/2006/relationships"><Relationship Id="rId8" Type="http://schemas.openxmlformats.org/officeDocument/2006/relationships/hyperlink" Target="#'DASH BAORD'!A1"/><Relationship Id="rId3" Type="http://schemas.openxmlformats.org/officeDocument/2006/relationships/image" Target="../media/image2.svg"/><Relationship Id="rId7" Type="http://schemas.openxmlformats.org/officeDocument/2006/relationships/image" Target="../media/image6.svg"/><Relationship Id="rId2" Type="http://schemas.openxmlformats.org/officeDocument/2006/relationships/image" Target="../media/image1.png"/><Relationship Id="rId1" Type="http://schemas.openxmlformats.org/officeDocument/2006/relationships/hyperlink" Target="#HUMIDITY!A1"/><Relationship Id="rId6" Type="http://schemas.openxmlformats.org/officeDocument/2006/relationships/image" Target="../media/image5.png"/><Relationship Id="rId11" Type="http://schemas.openxmlformats.org/officeDocument/2006/relationships/chart" Target="../charts/chart14.xml"/><Relationship Id="rId5" Type="http://schemas.openxmlformats.org/officeDocument/2006/relationships/image" Target="../media/image4.svg"/><Relationship Id="rId10" Type="http://schemas.openxmlformats.org/officeDocument/2006/relationships/image" Target="../media/image10.png"/><Relationship Id="rId4" Type="http://schemas.openxmlformats.org/officeDocument/2006/relationships/image" Target="../media/image3.png"/><Relationship Id="rId9" Type="http://schemas.openxmlformats.org/officeDocument/2006/relationships/hyperlink" Target="#TEMPERATURE!A1"/></Relationships>
</file>

<file path=xl/drawings/drawing1.xml><?xml version="1.0" encoding="utf-8"?>
<xdr:wsDr xmlns:xdr="http://schemas.openxmlformats.org/drawingml/2006/spreadsheetDrawing" xmlns:a="http://schemas.openxmlformats.org/drawingml/2006/main">
  <xdr:twoCellAnchor>
    <xdr:from>
      <xdr:col>0</xdr:col>
      <xdr:colOff>7620</xdr:colOff>
      <xdr:row>0</xdr:row>
      <xdr:rowOff>0</xdr:rowOff>
    </xdr:from>
    <xdr:to>
      <xdr:col>24</xdr:col>
      <xdr:colOff>549691</xdr:colOff>
      <xdr:row>60</xdr:row>
      <xdr:rowOff>100900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88332AF0-011B-B217-5404-AD7091F8C849}"/>
            </a:ext>
          </a:extLst>
        </xdr:cNvPr>
        <xdr:cNvSpPr/>
      </xdr:nvSpPr>
      <xdr:spPr>
        <a:xfrm>
          <a:off x="7620" y="0"/>
          <a:ext cx="15172471" cy="11073700"/>
        </a:xfrm>
        <a:prstGeom prst="roundRect">
          <a:avLst>
            <a:gd name="adj" fmla="val 1"/>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459828</xdr:colOff>
      <xdr:row>0</xdr:row>
      <xdr:rowOff>0</xdr:rowOff>
    </xdr:from>
    <xdr:to>
      <xdr:col>24</xdr:col>
      <xdr:colOff>551793</xdr:colOff>
      <xdr:row>60</xdr:row>
      <xdr:rowOff>106681</xdr:rowOff>
    </xdr:to>
    <xdr:sp macro="" textlink="">
      <xdr:nvSpPr>
        <xdr:cNvPr id="3" name="Rectangle: Rounded Corners 2">
          <a:extLst>
            <a:ext uri="{FF2B5EF4-FFF2-40B4-BE49-F238E27FC236}">
              <a16:creationId xmlns:a16="http://schemas.microsoft.com/office/drawing/2014/main" id="{EAF24824-E0D0-4BE6-8C53-27ABE273431F}"/>
            </a:ext>
          </a:extLst>
        </xdr:cNvPr>
        <xdr:cNvSpPr/>
      </xdr:nvSpPr>
      <xdr:spPr>
        <a:xfrm>
          <a:off x="2898228" y="0"/>
          <a:ext cx="12283965" cy="11079481"/>
        </a:xfrm>
        <a:prstGeom prst="roundRect">
          <a:avLst>
            <a:gd name="adj" fmla="val 1"/>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579120</xdr:colOff>
      <xdr:row>0</xdr:row>
      <xdr:rowOff>121920</xdr:rowOff>
    </xdr:from>
    <xdr:to>
      <xdr:col>24</xdr:col>
      <xdr:colOff>396240</xdr:colOff>
      <xdr:row>5</xdr:row>
      <xdr:rowOff>30480</xdr:rowOff>
    </xdr:to>
    <xdr:sp macro="" textlink="">
      <xdr:nvSpPr>
        <xdr:cNvPr id="4" name="Rectangle 3">
          <a:extLst>
            <a:ext uri="{FF2B5EF4-FFF2-40B4-BE49-F238E27FC236}">
              <a16:creationId xmlns:a16="http://schemas.microsoft.com/office/drawing/2014/main" id="{25AA35B4-2FBF-BCA1-FBE1-C3E5DCA46B62}"/>
            </a:ext>
          </a:extLst>
        </xdr:cNvPr>
        <xdr:cNvSpPr/>
      </xdr:nvSpPr>
      <xdr:spPr>
        <a:xfrm>
          <a:off x="3017520" y="121920"/>
          <a:ext cx="12009120" cy="822960"/>
        </a:xfrm>
        <a:prstGeom prst="rect">
          <a:avLst/>
        </a:prstGeom>
        <a:solidFill>
          <a:srgbClr val="002060"/>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433552</xdr:colOff>
      <xdr:row>0</xdr:row>
      <xdr:rowOff>157656</xdr:rowOff>
    </xdr:from>
    <xdr:to>
      <xdr:col>22</xdr:col>
      <xdr:colOff>65690</xdr:colOff>
      <xdr:row>4</xdr:row>
      <xdr:rowOff>157656</xdr:rowOff>
    </xdr:to>
    <xdr:sp macro="" textlink="">
      <xdr:nvSpPr>
        <xdr:cNvPr id="5" name="TextBox 4">
          <a:extLst>
            <a:ext uri="{FF2B5EF4-FFF2-40B4-BE49-F238E27FC236}">
              <a16:creationId xmlns:a16="http://schemas.microsoft.com/office/drawing/2014/main" id="{5C332F73-6337-697A-9B35-B791F9348EE9}"/>
            </a:ext>
          </a:extLst>
        </xdr:cNvPr>
        <xdr:cNvSpPr txBox="1"/>
      </xdr:nvSpPr>
      <xdr:spPr>
        <a:xfrm>
          <a:off x="4663966" y="157656"/>
          <a:ext cx="8697310" cy="7357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6000">
              <a:solidFill>
                <a:schemeClr val="bg1"/>
              </a:solidFill>
            </a:rPr>
            <a:t>  WEATHER DATA</a:t>
          </a:r>
          <a:r>
            <a:rPr lang="en-IN" sz="6000" baseline="0">
              <a:solidFill>
                <a:schemeClr val="bg1"/>
              </a:solidFill>
            </a:rPr>
            <a:t> ANALYSIS</a:t>
          </a:r>
          <a:endParaRPr lang="en-IN" sz="6000">
            <a:solidFill>
              <a:schemeClr val="bg1"/>
            </a:solidFill>
          </a:endParaRPr>
        </a:p>
      </xdr:txBody>
    </xdr:sp>
    <xdr:clientData/>
  </xdr:twoCellAnchor>
  <xdr:twoCellAnchor>
    <xdr:from>
      <xdr:col>4</xdr:col>
      <xdr:colOff>604344</xdr:colOff>
      <xdr:row>5</xdr:row>
      <xdr:rowOff>157656</xdr:rowOff>
    </xdr:from>
    <xdr:to>
      <xdr:col>9</xdr:col>
      <xdr:colOff>525518</xdr:colOff>
      <xdr:row>11</xdr:row>
      <xdr:rowOff>78829</xdr:rowOff>
    </xdr:to>
    <xdr:sp macro="" textlink="">
      <xdr:nvSpPr>
        <xdr:cNvPr id="6" name="Rectangle: Rounded Corners 5">
          <a:extLst>
            <a:ext uri="{FF2B5EF4-FFF2-40B4-BE49-F238E27FC236}">
              <a16:creationId xmlns:a16="http://schemas.microsoft.com/office/drawing/2014/main" id="{B04D3FE5-F720-2C19-9E2F-3E40A27B2E52}"/>
            </a:ext>
          </a:extLst>
        </xdr:cNvPr>
        <xdr:cNvSpPr/>
      </xdr:nvSpPr>
      <xdr:spPr>
        <a:xfrm>
          <a:off x="3021723" y="1077311"/>
          <a:ext cx="2942898" cy="1024759"/>
        </a:xfrm>
        <a:prstGeom prst="roundRect">
          <a:avLst/>
        </a:prstGeom>
        <a:solidFill>
          <a:srgbClr val="FF7DB2"/>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xdr:colOff>
      <xdr:row>5</xdr:row>
      <xdr:rowOff>144518</xdr:rowOff>
    </xdr:from>
    <xdr:to>
      <xdr:col>14</xdr:col>
      <xdr:colOff>486104</xdr:colOff>
      <xdr:row>11</xdr:row>
      <xdr:rowOff>65691</xdr:rowOff>
    </xdr:to>
    <xdr:sp macro="" textlink="">
      <xdr:nvSpPr>
        <xdr:cNvPr id="7" name="Rectangle: Rounded Corners 6">
          <a:extLst>
            <a:ext uri="{FF2B5EF4-FFF2-40B4-BE49-F238E27FC236}">
              <a16:creationId xmlns:a16="http://schemas.microsoft.com/office/drawing/2014/main" id="{8A89CD63-34D6-9E97-67CE-BD46E6C23788}"/>
            </a:ext>
          </a:extLst>
        </xdr:cNvPr>
        <xdr:cNvSpPr/>
      </xdr:nvSpPr>
      <xdr:spPr>
        <a:xfrm>
          <a:off x="6043451" y="1064173"/>
          <a:ext cx="2903481" cy="1024759"/>
        </a:xfrm>
        <a:prstGeom prst="roundRect">
          <a:avLst/>
        </a:prstGeom>
        <a:solidFill>
          <a:srgbClr val="C2F4FE"/>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CCFF66"/>
            </a:solidFill>
          </a:endParaRPr>
        </a:p>
      </xdr:txBody>
    </xdr:sp>
    <xdr:clientData/>
  </xdr:twoCellAnchor>
  <xdr:twoCellAnchor>
    <xdr:from>
      <xdr:col>14</xdr:col>
      <xdr:colOff>551796</xdr:colOff>
      <xdr:row>5</xdr:row>
      <xdr:rowOff>144518</xdr:rowOff>
    </xdr:from>
    <xdr:to>
      <xdr:col>19</xdr:col>
      <xdr:colOff>472966</xdr:colOff>
      <xdr:row>11</xdr:row>
      <xdr:rowOff>65691</xdr:rowOff>
    </xdr:to>
    <xdr:sp macro="" textlink="">
      <xdr:nvSpPr>
        <xdr:cNvPr id="8" name="Rectangle: Rounded Corners 7">
          <a:extLst>
            <a:ext uri="{FF2B5EF4-FFF2-40B4-BE49-F238E27FC236}">
              <a16:creationId xmlns:a16="http://schemas.microsoft.com/office/drawing/2014/main" id="{40DC3094-A012-1A1D-CEFA-0A7FEBA41C0F}"/>
            </a:ext>
          </a:extLst>
        </xdr:cNvPr>
        <xdr:cNvSpPr/>
      </xdr:nvSpPr>
      <xdr:spPr>
        <a:xfrm>
          <a:off x="9012624" y="1064173"/>
          <a:ext cx="2942894" cy="1024759"/>
        </a:xfrm>
        <a:prstGeom prst="roundRect">
          <a:avLst/>
        </a:prstGeom>
        <a:solidFill>
          <a:srgbClr val="E4FFAF"/>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FFFF99"/>
            </a:solidFill>
          </a:endParaRPr>
        </a:p>
      </xdr:txBody>
    </xdr:sp>
    <xdr:clientData/>
  </xdr:twoCellAnchor>
  <xdr:twoCellAnchor>
    <xdr:from>
      <xdr:col>19</xdr:col>
      <xdr:colOff>538656</xdr:colOff>
      <xdr:row>5</xdr:row>
      <xdr:rowOff>157656</xdr:rowOff>
    </xdr:from>
    <xdr:to>
      <xdr:col>24</xdr:col>
      <xdr:colOff>433552</xdr:colOff>
      <xdr:row>11</xdr:row>
      <xdr:rowOff>78829</xdr:rowOff>
    </xdr:to>
    <xdr:sp macro="" textlink="">
      <xdr:nvSpPr>
        <xdr:cNvPr id="9" name="Rectangle: Rounded Corners 8">
          <a:extLst>
            <a:ext uri="{FF2B5EF4-FFF2-40B4-BE49-F238E27FC236}">
              <a16:creationId xmlns:a16="http://schemas.microsoft.com/office/drawing/2014/main" id="{1C482A50-AC0E-68EE-24A9-A0CF68A80106}"/>
            </a:ext>
          </a:extLst>
        </xdr:cNvPr>
        <xdr:cNvSpPr/>
      </xdr:nvSpPr>
      <xdr:spPr>
        <a:xfrm>
          <a:off x="12021208" y="1077311"/>
          <a:ext cx="2916620" cy="1024759"/>
        </a:xfrm>
        <a:prstGeom prst="roundRect">
          <a:avLst/>
        </a:prstGeom>
        <a:solidFill>
          <a:srgbClr val="FFFFCC"/>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C2F4FE"/>
            </a:solidFill>
          </a:endParaRPr>
        </a:p>
      </xdr:txBody>
    </xdr:sp>
    <xdr:clientData/>
  </xdr:twoCellAnchor>
  <xdr:twoCellAnchor>
    <xdr:from>
      <xdr:col>19</xdr:col>
      <xdr:colOff>324506</xdr:colOff>
      <xdr:row>20</xdr:row>
      <xdr:rowOff>101162</xdr:rowOff>
    </xdr:from>
    <xdr:to>
      <xdr:col>21</xdr:col>
      <xdr:colOff>30217</xdr:colOff>
      <xdr:row>25</xdr:row>
      <xdr:rowOff>95907</xdr:rowOff>
    </xdr:to>
    <xdr:sp macro="" textlink="">
      <xdr:nvSpPr>
        <xdr:cNvPr id="10" name="TextBox 9">
          <a:extLst>
            <a:ext uri="{FF2B5EF4-FFF2-40B4-BE49-F238E27FC236}">
              <a16:creationId xmlns:a16="http://schemas.microsoft.com/office/drawing/2014/main" id="{2F05FCD3-74BC-08B9-1A3F-247E41C7C08F}"/>
            </a:ext>
          </a:extLst>
        </xdr:cNvPr>
        <xdr:cNvSpPr txBox="1"/>
      </xdr:nvSpPr>
      <xdr:spPr>
        <a:xfrm>
          <a:off x="11807058" y="3779783"/>
          <a:ext cx="91440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19</xdr:col>
      <xdr:colOff>324506</xdr:colOff>
      <xdr:row>20</xdr:row>
      <xdr:rowOff>101162</xdr:rowOff>
    </xdr:from>
    <xdr:to>
      <xdr:col>21</xdr:col>
      <xdr:colOff>30217</xdr:colOff>
      <xdr:row>25</xdr:row>
      <xdr:rowOff>95907</xdr:rowOff>
    </xdr:to>
    <xdr:sp macro="" textlink="">
      <xdr:nvSpPr>
        <xdr:cNvPr id="11" name="TextBox 10">
          <a:extLst>
            <a:ext uri="{FF2B5EF4-FFF2-40B4-BE49-F238E27FC236}">
              <a16:creationId xmlns:a16="http://schemas.microsoft.com/office/drawing/2014/main" id="{CBA0128C-A012-9284-75B5-FA9F47F9A676}"/>
            </a:ext>
          </a:extLst>
        </xdr:cNvPr>
        <xdr:cNvSpPr txBox="1"/>
      </xdr:nvSpPr>
      <xdr:spPr>
        <a:xfrm>
          <a:off x="11807058" y="3779783"/>
          <a:ext cx="91440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ln>
              <a:noFill/>
            </a:ln>
            <a:noFill/>
          </a:endParaRPr>
        </a:p>
      </xdr:txBody>
    </xdr:sp>
    <xdr:clientData/>
  </xdr:twoCellAnchor>
  <xdr:twoCellAnchor>
    <xdr:from>
      <xdr:col>19</xdr:col>
      <xdr:colOff>324506</xdr:colOff>
      <xdr:row>20</xdr:row>
      <xdr:rowOff>101162</xdr:rowOff>
    </xdr:from>
    <xdr:to>
      <xdr:col>21</xdr:col>
      <xdr:colOff>30217</xdr:colOff>
      <xdr:row>25</xdr:row>
      <xdr:rowOff>95907</xdr:rowOff>
    </xdr:to>
    <xdr:sp macro="" textlink="">
      <xdr:nvSpPr>
        <xdr:cNvPr id="13" name="TextBox 12">
          <a:extLst>
            <a:ext uri="{FF2B5EF4-FFF2-40B4-BE49-F238E27FC236}">
              <a16:creationId xmlns:a16="http://schemas.microsoft.com/office/drawing/2014/main" id="{3388FE23-A355-7A21-0907-D0CEC65735F8}"/>
            </a:ext>
          </a:extLst>
        </xdr:cNvPr>
        <xdr:cNvSpPr txBox="1"/>
      </xdr:nvSpPr>
      <xdr:spPr>
        <a:xfrm>
          <a:off x="11807058" y="3779783"/>
          <a:ext cx="91440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oneCellAnchor>
    <xdr:from>
      <xdr:col>28</xdr:col>
      <xdr:colOff>236483</xdr:colOff>
      <xdr:row>34</xdr:row>
      <xdr:rowOff>0</xdr:rowOff>
    </xdr:from>
    <xdr:ext cx="184731" cy="264560"/>
    <xdr:sp macro="" textlink="">
      <xdr:nvSpPr>
        <xdr:cNvPr id="14" name="TextBox 13">
          <a:extLst>
            <a:ext uri="{FF2B5EF4-FFF2-40B4-BE49-F238E27FC236}">
              <a16:creationId xmlns:a16="http://schemas.microsoft.com/office/drawing/2014/main" id="{8D207A21-F4E0-2960-45B9-86AADE81287F}"/>
            </a:ext>
          </a:extLst>
        </xdr:cNvPr>
        <xdr:cNvSpPr txBox="1"/>
      </xdr:nvSpPr>
      <xdr:spPr>
        <a:xfrm>
          <a:off x="17158138" y="625365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5</xdr:col>
      <xdr:colOff>275897</xdr:colOff>
      <xdr:row>5</xdr:row>
      <xdr:rowOff>157655</xdr:rowOff>
    </xdr:from>
    <xdr:to>
      <xdr:col>9</xdr:col>
      <xdr:colOff>486104</xdr:colOff>
      <xdr:row>8</xdr:row>
      <xdr:rowOff>157655</xdr:rowOff>
    </xdr:to>
    <xdr:sp macro="" textlink="">
      <xdr:nvSpPr>
        <xdr:cNvPr id="15" name="TextBox 14">
          <a:extLst>
            <a:ext uri="{FF2B5EF4-FFF2-40B4-BE49-F238E27FC236}">
              <a16:creationId xmlns:a16="http://schemas.microsoft.com/office/drawing/2014/main" id="{C988D050-12B3-B9BA-AFE4-BC614B132949}"/>
            </a:ext>
          </a:extLst>
        </xdr:cNvPr>
        <xdr:cNvSpPr txBox="1"/>
      </xdr:nvSpPr>
      <xdr:spPr>
        <a:xfrm>
          <a:off x="3297621" y="1077310"/>
          <a:ext cx="2627586" cy="5517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t>Avg Temperature</a:t>
          </a:r>
        </a:p>
      </xdr:txBody>
    </xdr:sp>
    <xdr:clientData/>
  </xdr:twoCellAnchor>
  <xdr:twoCellAnchor>
    <xdr:from>
      <xdr:col>19</xdr:col>
      <xdr:colOff>324506</xdr:colOff>
      <xdr:row>20</xdr:row>
      <xdr:rowOff>101162</xdr:rowOff>
    </xdr:from>
    <xdr:to>
      <xdr:col>21</xdr:col>
      <xdr:colOff>30217</xdr:colOff>
      <xdr:row>25</xdr:row>
      <xdr:rowOff>95907</xdr:rowOff>
    </xdr:to>
    <xdr:sp macro="" textlink="">
      <xdr:nvSpPr>
        <xdr:cNvPr id="16" name="TextBox 15">
          <a:extLst>
            <a:ext uri="{FF2B5EF4-FFF2-40B4-BE49-F238E27FC236}">
              <a16:creationId xmlns:a16="http://schemas.microsoft.com/office/drawing/2014/main" id="{7274DE40-DEFB-F345-6210-1196E98812C9}"/>
            </a:ext>
          </a:extLst>
        </xdr:cNvPr>
        <xdr:cNvSpPr txBox="1"/>
      </xdr:nvSpPr>
      <xdr:spPr>
        <a:xfrm>
          <a:off x="11807058" y="3779783"/>
          <a:ext cx="91440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oneCellAnchor>
    <xdr:from>
      <xdr:col>27</xdr:col>
      <xdr:colOff>236483</xdr:colOff>
      <xdr:row>31</xdr:row>
      <xdr:rowOff>52552</xdr:rowOff>
    </xdr:from>
    <xdr:ext cx="184731" cy="264560"/>
    <xdr:sp macro="" textlink="">
      <xdr:nvSpPr>
        <xdr:cNvPr id="17" name="TextBox 16">
          <a:extLst>
            <a:ext uri="{FF2B5EF4-FFF2-40B4-BE49-F238E27FC236}">
              <a16:creationId xmlns:a16="http://schemas.microsoft.com/office/drawing/2014/main" id="{BF57FEE9-B5A4-C046-36CE-D809CB551174}"/>
            </a:ext>
          </a:extLst>
        </xdr:cNvPr>
        <xdr:cNvSpPr txBox="1"/>
      </xdr:nvSpPr>
      <xdr:spPr>
        <a:xfrm>
          <a:off x="16553793" y="575441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10</xdr:col>
      <xdr:colOff>197071</xdr:colOff>
      <xdr:row>5</xdr:row>
      <xdr:rowOff>157655</xdr:rowOff>
    </xdr:from>
    <xdr:to>
      <xdr:col>14</xdr:col>
      <xdr:colOff>302173</xdr:colOff>
      <xdr:row>8</xdr:row>
      <xdr:rowOff>105104</xdr:rowOff>
    </xdr:to>
    <xdr:sp macro="" textlink="">
      <xdr:nvSpPr>
        <xdr:cNvPr id="18" name="TextBox 17">
          <a:extLst>
            <a:ext uri="{FF2B5EF4-FFF2-40B4-BE49-F238E27FC236}">
              <a16:creationId xmlns:a16="http://schemas.microsoft.com/office/drawing/2014/main" id="{B15F39A2-E110-B3F4-EB57-CCE3120D65F4}"/>
            </a:ext>
          </a:extLst>
        </xdr:cNvPr>
        <xdr:cNvSpPr txBox="1"/>
      </xdr:nvSpPr>
      <xdr:spPr>
        <a:xfrm>
          <a:off x="6240519" y="1077310"/>
          <a:ext cx="2522482" cy="4992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t>Avg Humidity</a:t>
          </a:r>
        </a:p>
      </xdr:txBody>
    </xdr:sp>
    <xdr:clientData/>
  </xdr:twoCellAnchor>
  <xdr:twoCellAnchor>
    <xdr:from>
      <xdr:col>19</xdr:col>
      <xdr:colOff>324506</xdr:colOff>
      <xdr:row>20</xdr:row>
      <xdr:rowOff>101162</xdr:rowOff>
    </xdr:from>
    <xdr:to>
      <xdr:col>21</xdr:col>
      <xdr:colOff>30217</xdr:colOff>
      <xdr:row>25</xdr:row>
      <xdr:rowOff>95907</xdr:rowOff>
    </xdr:to>
    <xdr:sp macro="" textlink="">
      <xdr:nvSpPr>
        <xdr:cNvPr id="19" name="TextBox 18">
          <a:extLst>
            <a:ext uri="{FF2B5EF4-FFF2-40B4-BE49-F238E27FC236}">
              <a16:creationId xmlns:a16="http://schemas.microsoft.com/office/drawing/2014/main" id="{DC0ED16A-A20E-8F69-E436-E15F6732F898}"/>
            </a:ext>
          </a:extLst>
        </xdr:cNvPr>
        <xdr:cNvSpPr txBox="1"/>
      </xdr:nvSpPr>
      <xdr:spPr>
        <a:xfrm>
          <a:off x="11807058" y="3779783"/>
          <a:ext cx="91440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oneCellAnchor>
    <xdr:from>
      <xdr:col>28</xdr:col>
      <xdr:colOff>249621</xdr:colOff>
      <xdr:row>24</xdr:row>
      <xdr:rowOff>65689</xdr:rowOff>
    </xdr:from>
    <xdr:ext cx="184731" cy="264560"/>
    <xdr:sp macro="" textlink="">
      <xdr:nvSpPr>
        <xdr:cNvPr id="20" name="TextBox 19">
          <a:extLst>
            <a:ext uri="{FF2B5EF4-FFF2-40B4-BE49-F238E27FC236}">
              <a16:creationId xmlns:a16="http://schemas.microsoft.com/office/drawing/2014/main" id="{207E71F4-A14C-54A2-2BD0-B43BEC8F460B}"/>
            </a:ext>
          </a:extLst>
        </xdr:cNvPr>
        <xdr:cNvSpPr txBox="1"/>
      </xdr:nvSpPr>
      <xdr:spPr>
        <a:xfrm>
          <a:off x="17171276" y="448003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15</xdr:col>
      <xdr:colOff>65690</xdr:colOff>
      <xdr:row>5</xdr:row>
      <xdr:rowOff>91966</xdr:rowOff>
    </xdr:from>
    <xdr:to>
      <xdr:col>19</xdr:col>
      <xdr:colOff>420414</xdr:colOff>
      <xdr:row>9</xdr:row>
      <xdr:rowOff>1</xdr:rowOff>
    </xdr:to>
    <xdr:sp macro="" textlink="">
      <xdr:nvSpPr>
        <xdr:cNvPr id="21" name="TextBox 20">
          <a:extLst>
            <a:ext uri="{FF2B5EF4-FFF2-40B4-BE49-F238E27FC236}">
              <a16:creationId xmlns:a16="http://schemas.microsoft.com/office/drawing/2014/main" id="{895827F9-2890-4170-741F-92A72F6FFCA6}"/>
            </a:ext>
          </a:extLst>
        </xdr:cNvPr>
        <xdr:cNvSpPr txBox="1"/>
      </xdr:nvSpPr>
      <xdr:spPr>
        <a:xfrm>
          <a:off x="9130862" y="1011621"/>
          <a:ext cx="2772104" cy="6437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t>Total Rainfall</a:t>
          </a:r>
        </a:p>
      </xdr:txBody>
    </xdr:sp>
    <xdr:clientData/>
  </xdr:twoCellAnchor>
  <xdr:twoCellAnchor>
    <xdr:from>
      <xdr:col>20</xdr:col>
      <xdr:colOff>183930</xdr:colOff>
      <xdr:row>6</xdr:row>
      <xdr:rowOff>13138</xdr:rowOff>
    </xdr:from>
    <xdr:to>
      <xdr:col>24</xdr:col>
      <xdr:colOff>236482</xdr:colOff>
      <xdr:row>8</xdr:row>
      <xdr:rowOff>91966</xdr:rowOff>
    </xdr:to>
    <xdr:sp macro="" textlink="">
      <xdr:nvSpPr>
        <xdr:cNvPr id="22" name="TextBox 21">
          <a:extLst>
            <a:ext uri="{FF2B5EF4-FFF2-40B4-BE49-F238E27FC236}">
              <a16:creationId xmlns:a16="http://schemas.microsoft.com/office/drawing/2014/main" id="{D7E24253-F380-3384-103A-479D4FEC02C6}"/>
            </a:ext>
          </a:extLst>
        </xdr:cNvPr>
        <xdr:cNvSpPr txBox="1"/>
      </xdr:nvSpPr>
      <xdr:spPr>
        <a:xfrm>
          <a:off x="12270827" y="1116724"/>
          <a:ext cx="2469931" cy="4466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t>Avg Wind Speed</a:t>
          </a:r>
        </a:p>
      </xdr:txBody>
    </xdr:sp>
    <xdr:clientData/>
  </xdr:twoCellAnchor>
  <xdr:twoCellAnchor>
    <xdr:from>
      <xdr:col>19</xdr:col>
      <xdr:colOff>324506</xdr:colOff>
      <xdr:row>20</xdr:row>
      <xdr:rowOff>101162</xdr:rowOff>
    </xdr:from>
    <xdr:to>
      <xdr:col>21</xdr:col>
      <xdr:colOff>30217</xdr:colOff>
      <xdr:row>25</xdr:row>
      <xdr:rowOff>95907</xdr:rowOff>
    </xdr:to>
    <xdr:sp macro="" textlink="">
      <xdr:nvSpPr>
        <xdr:cNvPr id="23" name="TextBox 22">
          <a:extLst>
            <a:ext uri="{FF2B5EF4-FFF2-40B4-BE49-F238E27FC236}">
              <a16:creationId xmlns:a16="http://schemas.microsoft.com/office/drawing/2014/main" id="{8BA3D309-E9DA-CFA8-6356-C990365441BF}"/>
            </a:ext>
          </a:extLst>
        </xdr:cNvPr>
        <xdr:cNvSpPr txBox="1"/>
      </xdr:nvSpPr>
      <xdr:spPr>
        <a:xfrm>
          <a:off x="11807058" y="3779783"/>
          <a:ext cx="91440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oneCellAnchor>
    <xdr:from>
      <xdr:col>29</xdr:col>
      <xdr:colOff>262759</xdr:colOff>
      <xdr:row>33</xdr:row>
      <xdr:rowOff>91966</xdr:rowOff>
    </xdr:from>
    <xdr:ext cx="184731" cy="264560"/>
    <xdr:sp macro="" textlink="">
      <xdr:nvSpPr>
        <xdr:cNvPr id="24" name="TextBox 23">
          <a:extLst>
            <a:ext uri="{FF2B5EF4-FFF2-40B4-BE49-F238E27FC236}">
              <a16:creationId xmlns:a16="http://schemas.microsoft.com/office/drawing/2014/main" id="{68F582E6-BF8A-33E3-EDAE-5A78CDAEF2CA}"/>
            </a:ext>
          </a:extLst>
        </xdr:cNvPr>
        <xdr:cNvSpPr txBox="1"/>
      </xdr:nvSpPr>
      <xdr:spPr>
        <a:xfrm>
          <a:off x="17788759" y="616169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4</xdr:col>
      <xdr:colOff>591207</xdr:colOff>
      <xdr:row>23</xdr:row>
      <xdr:rowOff>26276</xdr:rowOff>
    </xdr:from>
    <xdr:to>
      <xdr:col>11</xdr:col>
      <xdr:colOff>394137</xdr:colOff>
      <xdr:row>41</xdr:row>
      <xdr:rowOff>78828</xdr:rowOff>
    </xdr:to>
    <xdr:sp macro="" textlink="">
      <xdr:nvSpPr>
        <xdr:cNvPr id="25" name="Rectangle 24">
          <a:extLst>
            <a:ext uri="{FF2B5EF4-FFF2-40B4-BE49-F238E27FC236}">
              <a16:creationId xmlns:a16="http://schemas.microsoft.com/office/drawing/2014/main" id="{F6971886-BB19-8FCB-2F59-583746496164}"/>
            </a:ext>
          </a:extLst>
        </xdr:cNvPr>
        <xdr:cNvSpPr/>
      </xdr:nvSpPr>
      <xdr:spPr>
        <a:xfrm>
          <a:off x="3008586" y="4256690"/>
          <a:ext cx="4033344" cy="3363310"/>
        </a:xfrm>
        <a:prstGeom prst="rect">
          <a:avLst/>
        </a:prstGeom>
        <a:solidFill>
          <a:schemeClr val="bg1"/>
        </a:solid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472966</xdr:colOff>
      <xdr:row>23</xdr:row>
      <xdr:rowOff>45720</xdr:rowOff>
    </xdr:from>
    <xdr:to>
      <xdr:col>18</xdr:col>
      <xdr:colOff>78828</xdr:colOff>
      <xdr:row>41</xdr:row>
      <xdr:rowOff>52552</xdr:rowOff>
    </xdr:to>
    <xdr:sp macro="" textlink="">
      <xdr:nvSpPr>
        <xdr:cNvPr id="26" name="Rectangle 25">
          <a:extLst>
            <a:ext uri="{FF2B5EF4-FFF2-40B4-BE49-F238E27FC236}">
              <a16:creationId xmlns:a16="http://schemas.microsoft.com/office/drawing/2014/main" id="{945E0CAA-CF9B-2E92-C652-3E0564B107A4}"/>
            </a:ext>
          </a:extLst>
        </xdr:cNvPr>
        <xdr:cNvSpPr/>
      </xdr:nvSpPr>
      <xdr:spPr>
        <a:xfrm>
          <a:off x="7178566" y="4251960"/>
          <a:ext cx="3873062" cy="3298672"/>
        </a:xfrm>
        <a:prstGeom prst="rect">
          <a:avLst/>
        </a:prstGeom>
        <a:solidFill>
          <a:schemeClr val="bg1"/>
        </a:solid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26277</xdr:colOff>
      <xdr:row>27</xdr:row>
      <xdr:rowOff>131380</xdr:rowOff>
    </xdr:from>
    <xdr:to>
      <xdr:col>11</xdr:col>
      <xdr:colOff>328448</xdr:colOff>
      <xdr:row>41</xdr:row>
      <xdr:rowOff>26276</xdr:rowOff>
    </xdr:to>
    <xdr:graphicFrame macro="">
      <xdr:nvGraphicFramePr>
        <xdr:cNvPr id="29" name="Chart 28">
          <a:extLst>
            <a:ext uri="{FF2B5EF4-FFF2-40B4-BE49-F238E27FC236}">
              <a16:creationId xmlns:a16="http://schemas.microsoft.com/office/drawing/2014/main" id="{96313506-AEF8-4159-B74F-D7F0E73C52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144516</xdr:colOff>
      <xdr:row>23</xdr:row>
      <xdr:rowOff>39414</xdr:rowOff>
    </xdr:from>
    <xdr:to>
      <xdr:col>24</xdr:col>
      <xdr:colOff>459826</xdr:colOff>
      <xdr:row>41</xdr:row>
      <xdr:rowOff>39414</xdr:rowOff>
    </xdr:to>
    <xdr:sp macro="" textlink="">
      <xdr:nvSpPr>
        <xdr:cNvPr id="30" name="Rectangle 29">
          <a:extLst>
            <a:ext uri="{FF2B5EF4-FFF2-40B4-BE49-F238E27FC236}">
              <a16:creationId xmlns:a16="http://schemas.microsoft.com/office/drawing/2014/main" id="{5FB502E6-F8ED-E924-99F7-F48C9DED44B2}"/>
            </a:ext>
          </a:extLst>
        </xdr:cNvPr>
        <xdr:cNvSpPr/>
      </xdr:nvSpPr>
      <xdr:spPr>
        <a:xfrm>
          <a:off x="11022723" y="4269828"/>
          <a:ext cx="3941379" cy="3310758"/>
        </a:xfrm>
        <a:prstGeom prst="rect">
          <a:avLst/>
        </a:prstGeom>
        <a:solidFill>
          <a:schemeClr val="bg1"/>
        </a:solid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5</xdr:col>
      <xdr:colOff>26274</xdr:colOff>
      <xdr:row>11</xdr:row>
      <xdr:rowOff>157655</xdr:rowOff>
    </xdr:from>
    <xdr:to>
      <xdr:col>24</xdr:col>
      <xdr:colOff>426720</xdr:colOff>
      <xdr:row>15</xdr:row>
      <xdr:rowOff>170793</xdr:rowOff>
    </xdr:to>
    <mc:AlternateContent xmlns:mc="http://schemas.openxmlformats.org/markup-compatibility/2006" xmlns:a14="http://schemas.microsoft.com/office/drawing/2010/main">
      <mc:Choice Requires="a14">
        <xdr:graphicFrame macro="">
          <xdr:nvGraphicFramePr>
            <xdr:cNvPr id="32" name="Month 1">
              <a:extLst>
                <a:ext uri="{FF2B5EF4-FFF2-40B4-BE49-F238E27FC236}">
                  <a16:creationId xmlns:a16="http://schemas.microsoft.com/office/drawing/2014/main" id="{0D22BBCA-8315-4BF4-BFD2-BACE2D9E4314}"/>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3047998" y="2180896"/>
              <a:ext cx="11758449" cy="7488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591207</xdr:colOff>
      <xdr:row>23</xdr:row>
      <xdr:rowOff>26277</xdr:rowOff>
    </xdr:from>
    <xdr:to>
      <xdr:col>11</xdr:col>
      <xdr:colOff>381000</xdr:colOff>
      <xdr:row>26</xdr:row>
      <xdr:rowOff>170794</xdr:rowOff>
    </xdr:to>
    <xdr:sp macro="" textlink="">
      <xdr:nvSpPr>
        <xdr:cNvPr id="33" name="Rectangle 32">
          <a:extLst>
            <a:ext uri="{FF2B5EF4-FFF2-40B4-BE49-F238E27FC236}">
              <a16:creationId xmlns:a16="http://schemas.microsoft.com/office/drawing/2014/main" id="{0AD9D149-1B90-FC84-94FC-50BC8DFD863E}"/>
            </a:ext>
          </a:extLst>
        </xdr:cNvPr>
        <xdr:cNvSpPr/>
      </xdr:nvSpPr>
      <xdr:spPr>
        <a:xfrm>
          <a:off x="3008586" y="4256691"/>
          <a:ext cx="4020207" cy="696310"/>
        </a:xfrm>
        <a:prstGeom prst="rect">
          <a:avLst/>
        </a:prstGeom>
        <a:solidFill>
          <a:srgbClr val="FF0000"/>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131381</xdr:colOff>
      <xdr:row>23</xdr:row>
      <xdr:rowOff>65689</xdr:rowOff>
    </xdr:from>
    <xdr:to>
      <xdr:col>11</xdr:col>
      <xdr:colOff>275897</xdr:colOff>
      <xdr:row>26</xdr:row>
      <xdr:rowOff>118243</xdr:rowOff>
    </xdr:to>
    <xdr:sp macro="" textlink="">
      <xdr:nvSpPr>
        <xdr:cNvPr id="34" name="TextBox 33">
          <a:extLst>
            <a:ext uri="{FF2B5EF4-FFF2-40B4-BE49-F238E27FC236}">
              <a16:creationId xmlns:a16="http://schemas.microsoft.com/office/drawing/2014/main" id="{404104D7-D09E-E5DC-083E-FF308C4E3000}"/>
            </a:ext>
          </a:extLst>
        </xdr:cNvPr>
        <xdr:cNvSpPr txBox="1"/>
      </xdr:nvSpPr>
      <xdr:spPr>
        <a:xfrm>
          <a:off x="3153105" y="4296103"/>
          <a:ext cx="3770585" cy="6043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i="1">
              <a:solidFill>
                <a:sysClr val="windowText" lastClr="000000"/>
              </a:solidFill>
            </a:rPr>
            <a:t>Temperature Trend Over Time</a:t>
          </a:r>
        </a:p>
      </xdr:txBody>
    </xdr:sp>
    <xdr:clientData/>
  </xdr:twoCellAnchor>
  <xdr:twoCellAnchor editAs="oneCell">
    <xdr:from>
      <xdr:col>4</xdr:col>
      <xdr:colOff>594361</xdr:colOff>
      <xdr:row>16</xdr:row>
      <xdr:rowOff>52551</xdr:rowOff>
    </xdr:from>
    <xdr:to>
      <xdr:col>19</xdr:col>
      <xdr:colOff>249621</xdr:colOff>
      <xdr:row>22</xdr:row>
      <xdr:rowOff>157655</xdr:rowOff>
    </xdr:to>
    <mc:AlternateContent xmlns:mc="http://schemas.openxmlformats.org/markup-compatibility/2006" xmlns:a14="http://schemas.microsoft.com/office/drawing/2010/main">
      <mc:Choice Requires="a14">
        <xdr:graphicFrame macro="">
          <xdr:nvGraphicFramePr>
            <xdr:cNvPr id="36" name="State 1">
              <a:extLst>
                <a:ext uri="{FF2B5EF4-FFF2-40B4-BE49-F238E27FC236}">
                  <a16:creationId xmlns:a16="http://schemas.microsoft.com/office/drawing/2014/main" id="{ED31D36C-3742-4907-96D5-36220E2A14DF}"/>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3061139" y="2995448"/>
              <a:ext cx="8671034" cy="12086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486105</xdr:colOff>
      <xdr:row>23</xdr:row>
      <xdr:rowOff>83033</xdr:rowOff>
    </xdr:from>
    <xdr:to>
      <xdr:col>18</xdr:col>
      <xdr:colOff>65691</xdr:colOff>
      <xdr:row>27</xdr:row>
      <xdr:rowOff>18394</xdr:rowOff>
    </xdr:to>
    <xdr:sp macro="" textlink="">
      <xdr:nvSpPr>
        <xdr:cNvPr id="37" name="Rectangle 36">
          <a:extLst>
            <a:ext uri="{FF2B5EF4-FFF2-40B4-BE49-F238E27FC236}">
              <a16:creationId xmlns:a16="http://schemas.microsoft.com/office/drawing/2014/main" id="{F0AD7AFC-3C0A-1B1A-7CE3-43381A26A43D}"/>
            </a:ext>
          </a:extLst>
        </xdr:cNvPr>
        <xdr:cNvSpPr/>
      </xdr:nvSpPr>
      <xdr:spPr>
        <a:xfrm>
          <a:off x="7191705" y="4289273"/>
          <a:ext cx="3846786" cy="666881"/>
        </a:xfrm>
        <a:prstGeom prst="rect">
          <a:avLst/>
        </a:prstGeom>
        <a:solidFill>
          <a:srgbClr val="4CC073"/>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564931</xdr:colOff>
      <xdr:row>23</xdr:row>
      <xdr:rowOff>157656</xdr:rowOff>
    </xdr:from>
    <xdr:to>
      <xdr:col>18</xdr:col>
      <xdr:colOff>13138</xdr:colOff>
      <xdr:row>26</xdr:row>
      <xdr:rowOff>118241</xdr:rowOff>
    </xdr:to>
    <xdr:sp macro="" textlink="">
      <xdr:nvSpPr>
        <xdr:cNvPr id="38" name="TextBox 37">
          <a:extLst>
            <a:ext uri="{FF2B5EF4-FFF2-40B4-BE49-F238E27FC236}">
              <a16:creationId xmlns:a16="http://schemas.microsoft.com/office/drawing/2014/main" id="{81CE6D4E-75D6-4393-9657-AA3ED8106BC0}"/>
            </a:ext>
          </a:extLst>
        </xdr:cNvPr>
        <xdr:cNvSpPr txBox="1"/>
      </xdr:nvSpPr>
      <xdr:spPr>
        <a:xfrm>
          <a:off x="7212724" y="4388070"/>
          <a:ext cx="3678621" cy="5123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i="1"/>
            <a:t>Humidity Comparison by State</a:t>
          </a:r>
        </a:p>
      </xdr:txBody>
    </xdr:sp>
    <xdr:clientData/>
  </xdr:twoCellAnchor>
  <xdr:twoCellAnchor>
    <xdr:from>
      <xdr:col>11</xdr:col>
      <xdr:colOff>538655</xdr:colOff>
      <xdr:row>27</xdr:row>
      <xdr:rowOff>65690</xdr:rowOff>
    </xdr:from>
    <xdr:to>
      <xdr:col>18</xdr:col>
      <xdr:colOff>26276</xdr:colOff>
      <xdr:row>41</xdr:row>
      <xdr:rowOff>26275</xdr:rowOff>
    </xdr:to>
    <xdr:graphicFrame macro="">
      <xdr:nvGraphicFramePr>
        <xdr:cNvPr id="39" name="Chart 38">
          <a:extLst>
            <a:ext uri="{FF2B5EF4-FFF2-40B4-BE49-F238E27FC236}">
              <a16:creationId xmlns:a16="http://schemas.microsoft.com/office/drawing/2014/main" id="{C3091F61-D021-4591-94CD-5EBF4A93DE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591206</xdr:colOff>
      <xdr:row>41</xdr:row>
      <xdr:rowOff>131381</xdr:rowOff>
    </xdr:from>
    <xdr:to>
      <xdr:col>11</xdr:col>
      <xdr:colOff>381000</xdr:colOff>
      <xdr:row>59</xdr:row>
      <xdr:rowOff>131380</xdr:rowOff>
    </xdr:to>
    <xdr:sp macro="" textlink="">
      <xdr:nvSpPr>
        <xdr:cNvPr id="40" name="Rectangle 39">
          <a:extLst>
            <a:ext uri="{FF2B5EF4-FFF2-40B4-BE49-F238E27FC236}">
              <a16:creationId xmlns:a16="http://schemas.microsoft.com/office/drawing/2014/main" id="{7B042F5D-3149-E161-7D7A-8CBA1124C925}"/>
            </a:ext>
          </a:extLst>
        </xdr:cNvPr>
        <xdr:cNvSpPr/>
      </xdr:nvSpPr>
      <xdr:spPr>
        <a:xfrm>
          <a:off x="3008585" y="7672553"/>
          <a:ext cx="4020208" cy="3310758"/>
        </a:xfrm>
        <a:prstGeom prst="rect">
          <a:avLst/>
        </a:prstGeom>
        <a:solidFill>
          <a:schemeClr val="bg1"/>
        </a:solid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446688</xdr:colOff>
      <xdr:row>41</xdr:row>
      <xdr:rowOff>131382</xdr:rowOff>
    </xdr:from>
    <xdr:to>
      <xdr:col>18</xdr:col>
      <xdr:colOff>131379</xdr:colOff>
      <xdr:row>59</xdr:row>
      <xdr:rowOff>152400</xdr:rowOff>
    </xdr:to>
    <xdr:sp macro="" textlink="">
      <xdr:nvSpPr>
        <xdr:cNvPr id="41" name="Rectangle 40">
          <a:extLst>
            <a:ext uri="{FF2B5EF4-FFF2-40B4-BE49-F238E27FC236}">
              <a16:creationId xmlns:a16="http://schemas.microsoft.com/office/drawing/2014/main" id="{A6714455-2D1F-00DD-2AE8-CE2E1190A550}"/>
            </a:ext>
          </a:extLst>
        </xdr:cNvPr>
        <xdr:cNvSpPr/>
      </xdr:nvSpPr>
      <xdr:spPr>
        <a:xfrm>
          <a:off x="7152288" y="7629462"/>
          <a:ext cx="3951891" cy="3312858"/>
        </a:xfrm>
        <a:prstGeom prst="rect">
          <a:avLst/>
        </a:prstGeom>
        <a:solidFill>
          <a:schemeClr val="bg1"/>
        </a:solid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183930</xdr:colOff>
      <xdr:row>41</xdr:row>
      <xdr:rowOff>131381</xdr:rowOff>
    </xdr:from>
    <xdr:to>
      <xdr:col>24</xdr:col>
      <xdr:colOff>472966</xdr:colOff>
      <xdr:row>59</xdr:row>
      <xdr:rowOff>152400</xdr:rowOff>
    </xdr:to>
    <xdr:sp macro="" textlink="">
      <xdr:nvSpPr>
        <xdr:cNvPr id="42" name="Rectangle 41">
          <a:extLst>
            <a:ext uri="{FF2B5EF4-FFF2-40B4-BE49-F238E27FC236}">
              <a16:creationId xmlns:a16="http://schemas.microsoft.com/office/drawing/2014/main" id="{537CF7BD-2610-B2DA-3C5A-105BEBA49EEC}"/>
            </a:ext>
          </a:extLst>
        </xdr:cNvPr>
        <xdr:cNvSpPr/>
      </xdr:nvSpPr>
      <xdr:spPr>
        <a:xfrm>
          <a:off x="11156730" y="7629461"/>
          <a:ext cx="3946636" cy="3312859"/>
        </a:xfrm>
        <a:prstGeom prst="rect">
          <a:avLst/>
        </a:prstGeom>
        <a:solidFill>
          <a:schemeClr val="bg1"/>
        </a:solid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52550</xdr:colOff>
      <xdr:row>45</xdr:row>
      <xdr:rowOff>105104</xdr:rowOff>
    </xdr:from>
    <xdr:to>
      <xdr:col>11</xdr:col>
      <xdr:colOff>315310</xdr:colOff>
      <xdr:row>59</xdr:row>
      <xdr:rowOff>137160</xdr:rowOff>
    </xdr:to>
    <xdr:graphicFrame macro="">
      <xdr:nvGraphicFramePr>
        <xdr:cNvPr id="43" name="Chart 42">
          <a:extLst>
            <a:ext uri="{FF2B5EF4-FFF2-40B4-BE49-F238E27FC236}">
              <a16:creationId xmlns:a16="http://schemas.microsoft.com/office/drawing/2014/main" id="{CBCC7F30-38A3-4FA4-B489-45D5CCAEB5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157655</xdr:colOff>
      <xdr:row>23</xdr:row>
      <xdr:rowOff>65689</xdr:rowOff>
    </xdr:from>
    <xdr:to>
      <xdr:col>24</xdr:col>
      <xdr:colOff>459827</xdr:colOff>
      <xdr:row>27</xdr:row>
      <xdr:rowOff>13138</xdr:rowOff>
    </xdr:to>
    <xdr:sp macro="" textlink="">
      <xdr:nvSpPr>
        <xdr:cNvPr id="44" name="Rectangle 43">
          <a:extLst>
            <a:ext uri="{FF2B5EF4-FFF2-40B4-BE49-F238E27FC236}">
              <a16:creationId xmlns:a16="http://schemas.microsoft.com/office/drawing/2014/main" id="{9CE3396E-AB3B-930E-2508-ADDAB91F57F5}"/>
            </a:ext>
          </a:extLst>
        </xdr:cNvPr>
        <xdr:cNvSpPr/>
      </xdr:nvSpPr>
      <xdr:spPr>
        <a:xfrm>
          <a:off x="11035862" y="4296103"/>
          <a:ext cx="3928241" cy="683173"/>
        </a:xfrm>
        <a:prstGeom prst="rect">
          <a:avLst/>
        </a:prstGeom>
        <a:solidFill>
          <a:srgbClr val="FF99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210207</xdr:colOff>
      <xdr:row>24</xdr:row>
      <xdr:rowOff>13138</xdr:rowOff>
    </xdr:from>
    <xdr:to>
      <xdr:col>24</xdr:col>
      <xdr:colOff>420414</xdr:colOff>
      <xdr:row>26</xdr:row>
      <xdr:rowOff>91965</xdr:rowOff>
    </xdr:to>
    <xdr:sp macro="" textlink="">
      <xdr:nvSpPr>
        <xdr:cNvPr id="45" name="TextBox 44">
          <a:extLst>
            <a:ext uri="{FF2B5EF4-FFF2-40B4-BE49-F238E27FC236}">
              <a16:creationId xmlns:a16="http://schemas.microsoft.com/office/drawing/2014/main" id="{A73939E5-4EA3-5C0A-CB78-85AA645B8924}"/>
            </a:ext>
          </a:extLst>
        </xdr:cNvPr>
        <xdr:cNvSpPr txBox="1"/>
      </xdr:nvSpPr>
      <xdr:spPr>
        <a:xfrm>
          <a:off x="11088414" y="4427483"/>
          <a:ext cx="3836276" cy="4466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i="1"/>
            <a:t>Weather season Distribution</a:t>
          </a:r>
        </a:p>
      </xdr:txBody>
    </xdr:sp>
    <xdr:clientData/>
  </xdr:twoCellAnchor>
  <xdr:twoCellAnchor editAs="oneCell">
    <xdr:from>
      <xdr:col>19</xdr:col>
      <xdr:colOff>315312</xdr:colOff>
      <xdr:row>16</xdr:row>
      <xdr:rowOff>65685</xdr:rowOff>
    </xdr:from>
    <xdr:to>
      <xdr:col>24</xdr:col>
      <xdr:colOff>441960</xdr:colOff>
      <xdr:row>22</xdr:row>
      <xdr:rowOff>131379</xdr:rowOff>
    </xdr:to>
    <mc:AlternateContent xmlns:mc="http://schemas.openxmlformats.org/markup-compatibility/2006" xmlns:a14="http://schemas.microsoft.com/office/drawing/2010/main">
      <mc:Choice Requires="a14">
        <xdr:graphicFrame macro="">
          <xdr:nvGraphicFramePr>
            <xdr:cNvPr id="46" name="Season 1">
              <a:extLst>
                <a:ext uri="{FF2B5EF4-FFF2-40B4-BE49-F238E27FC236}">
                  <a16:creationId xmlns:a16="http://schemas.microsoft.com/office/drawing/2014/main" id="{432FC4C5-E98F-49A6-8A54-E8675652D177}"/>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mlns="">
        <xdr:sp macro="" textlink="">
          <xdr:nvSpPr>
            <xdr:cNvPr id="0" name=""/>
            <xdr:cNvSpPr>
              <a:spLocks noTextEdit="1"/>
            </xdr:cNvSpPr>
          </xdr:nvSpPr>
          <xdr:spPr>
            <a:xfrm>
              <a:off x="11797864" y="3008582"/>
              <a:ext cx="2969170" cy="1169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13137</xdr:colOff>
      <xdr:row>41</xdr:row>
      <xdr:rowOff>131381</xdr:rowOff>
    </xdr:from>
    <xdr:to>
      <xdr:col>11</xdr:col>
      <xdr:colOff>380999</xdr:colOff>
      <xdr:row>45</xdr:row>
      <xdr:rowOff>78829</xdr:rowOff>
    </xdr:to>
    <xdr:sp macro="" textlink="">
      <xdr:nvSpPr>
        <xdr:cNvPr id="47" name="Rectangle 46">
          <a:extLst>
            <a:ext uri="{FF2B5EF4-FFF2-40B4-BE49-F238E27FC236}">
              <a16:creationId xmlns:a16="http://schemas.microsoft.com/office/drawing/2014/main" id="{DE309976-5E47-4D63-8B25-0791B9E301EE}"/>
            </a:ext>
          </a:extLst>
        </xdr:cNvPr>
        <xdr:cNvSpPr/>
      </xdr:nvSpPr>
      <xdr:spPr>
        <a:xfrm>
          <a:off x="3034861" y="7672553"/>
          <a:ext cx="3993931" cy="683173"/>
        </a:xfrm>
        <a:prstGeom prst="rect">
          <a:avLst/>
        </a:prstGeom>
        <a:solidFill>
          <a:srgbClr val="0099C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78828</xdr:colOff>
      <xdr:row>42</xdr:row>
      <xdr:rowOff>30481</xdr:rowOff>
    </xdr:from>
    <xdr:to>
      <xdr:col>11</xdr:col>
      <xdr:colOff>335280</xdr:colOff>
      <xdr:row>44</xdr:row>
      <xdr:rowOff>144519</xdr:rowOff>
    </xdr:to>
    <xdr:sp macro="" textlink="">
      <xdr:nvSpPr>
        <xdr:cNvPr id="48" name="TextBox 47">
          <a:extLst>
            <a:ext uri="{FF2B5EF4-FFF2-40B4-BE49-F238E27FC236}">
              <a16:creationId xmlns:a16="http://schemas.microsoft.com/office/drawing/2014/main" id="{5BF93DB0-19A9-AD0B-4679-E6C848BA90CD}"/>
            </a:ext>
          </a:extLst>
        </xdr:cNvPr>
        <xdr:cNvSpPr txBox="1"/>
      </xdr:nvSpPr>
      <xdr:spPr>
        <a:xfrm>
          <a:off x="3126828" y="7711441"/>
          <a:ext cx="3914052" cy="4797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000" b="1" i="1">
              <a:solidFill>
                <a:schemeClr val="dk1"/>
              </a:solidFill>
              <a:effectLst/>
              <a:latin typeface="+mn-lt"/>
              <a:ea typeface="+mn-ea"/>
              <a:cs typeface="+mn-cs"/>
            </a:rPr>
            <a:t>Monthly Rainfall Analysis</a:t>
          </a:r>
          <a:endParaRPr lang="en-IN" sz="2000">
            <a:effectLst/>
          </a:endParaRPr>
        </a:p>
        <a:p>
          <a:endParaRPr lang="en-IN" sz="1100"/>
        </a:p>
      </xdr:txBody>
    </xdr:sp>
    <xdr:clientData/>
  </xdr:twoCellAnchor>
  <xdr:twoCellAnchor>
    <xdr:from>
      <xdr:col>18</xdr:col>
      <xdr:colOff>170794</xdr:colOff>
      <xdr:row>27</xdr:row>
      <xdr:rowOff>118241</xdr:rowOff>
    </xdr:from>
    <xdr:to>
      <xdr:col>24</xdr:col>
      <xdr:colOff>394139</xdr:colOff>
      <xdr:row>40</xdr:row>
      <xdr:rowOff>170793</xdr:rowOff>
    </xdr:to>
    <xdr:graphicFrame macro="">
      <xdr:nvGraphicFramePr>
        <xdr:cNvPr id="49" name="Chart 48">
          <a:extLst>
            <a:ext uri="{FF2B5EF4-FFF2-40B4-BE49-F238E27FC236}">
              <a16:creationId xmlns:a16="http://schemas.microsoft.com/office/drawing/2014/main" id="{0DD89079-CC39-44E8-BE2F-FEC38AAB4A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446688</xdr:colOff>
      <xdr:row>41</xdr:row>
      <xdr:rowOff>131382</xdr:rowOff>
    </xdr:from>
    <xdr:to>
      <xdr:col>18</xdr:col>
      <xdr:colOff>144517</xdr:colOff>
      <xdr:row>45</xdr:row>
      <xdr:rowOff>78830</xdr:rowOff>
    </xdr:to>
    <xdr:sp macro="" textlink="">
      <xdr:nvSpPr>
        <xdr:cNvPr id="51" name="Rectangle 50">
          <a:extLst>
            <a:ext uri="{FF2B5EF4-FFF2-40B4-BE49-F238E27FC236}">
              <a16:creationId xmlns:a16="http://schemas.microsoft.com/office/drawing/2014/main" id="{00BAFF5E-43D7-48D5-A8A1-4D2F8B2FCB54}"/>
            </a:ext>
          </a:extLst>
        </xdr:cNvPr>
        <xdr:cNvSpPr/>
      </xdr:nvSpPr>
      <xdr:spPr>
        <a:xfrm>
          <a:off x="7094481" y="7672554"/>
          <a:ext cx="3928243" cy="683173"/>
        </a:xfrm>
        <a:prstGeom prst="rect">
          <a:avLst/>
        </a:prstGeom>
        <a:solidFill>
          <a:srgbClr val="CC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525517</xdr:colOff>
      <xdr:row>42</xdr:row>
      <xdr:rowOff>39414</xdr:rowOff>
    </xdr:from>
    <xdr:to>
      <xdr:col>18</xdr:col>
      <xdr:colOff>78827</xdr:colOff>
      <xdr:row>44</xdr:row>
      <xdr:rowOff>131380</xdr:rowOff>
    </xdr:to>
    <xdr:sp macro="" textlink="">
      <xdr:nvSpPr>
        <xdr:cNvPr id="52" name="TextBox 51">
          <a:extLst>
            <a:ext uri="{FF2B5EF4-FFF2-40B4-BE49-F238E27FC236}">
              <a16:creationId xmlns:a16="http://schemas.microsoft.com/office/drawing/2014/main" id="{BBAC4FBD-B6B1-54A9-9470-961B18BC5E23}"/>
            </a:ext>
          </a:extLst>
        </xdr:cNvPr>
        <xdr:cNvSpPr txBox="1"/>
      </xdr:nvSpPr>
      <xdr:spPr>
        <a:xfrm>
          <a:off x="7173310" y="7764517"/>
          <a:ext cx="3783724" cy="4598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i="1"/>
            <a:t>Temperature vs Humidity Analysis</a:t>
          </a:r>
        </a:p>
      </xdr:txBody>
    </xdr:sp>
    <xdr:clientData/>
  </xdr:twoCellAnchor>
  <xdr:twoCellAnchor>
    <xdr:from>
      <xdr:col>18</xdr:col>
      <xdr:colOff>236481</xdr:colOff>
      <xdr:row>45</xdr:row>
      <xdr:rowOff>91965</xdr:rowOff>
    </xdr:from>
    <xdr:to>
      <xdr:col>24</xdr:col>
      <xdr:colOff>446689</xdr:colOff>
      <xdr:row>59</xdr:row>
      <xdr:rowOff>106680</xdr:rowOff>
    </xdr:to>
    <mc:AlternateContent xmlns:mc="http://schemas.openxmlformats.org/markup-compatibility/2006">
      <mc:Choice xmlns:cx4="http://schemas.microsoft.com/office/drawing/2016/5/10/chartex" Requires="cx4">
        <xdr:graphicFrame macro="">
          <xdr:nvGraphicFramePr>
            <xdr:cNvPr id="53" name="Chart 52">
              <a:extLst>
                <a:ext uri="{FF2B5EF4-FFF2-40B4-BE49-F238E27FC236}">
                  <a16:creationId xmlns:a16="http://schemas.microsoft.com/office/drawing/2014/main" id="{78E2FBB6-3DCB-4F97-9FC0-EC0661F2185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1209281" y="8321565"/>
              <a:ext cx="3867808" cy="257503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183930</xdr:colOff>
      <xdr:row>41</xdr:row>
      <xdr:rowOff>131381</xdr:rowOff>
    </xdr:from>
    <xdr:to>
      <xdr:col>24</xdr:col>
      <xdr:colOff>486104</xdr:colOff>
      <xdr:row>45</xdr:row>
      <xdr:rowOff>78829</xdr:rowOff>
    </xdr:to>
    <xdr:sp macro="" textlink="">
      <xdr:nvSpPr>
        <xdr:cNvPr id="54" name="Rectangle 53">
          <a:extLst>
            <a:ext uri="{FF2B5EF4-FFF2-40B4-BE49-F238E27FC236}">
              <a16:creationId xmlns:a16="http://schemas.microsoft.com/office/drawing/2014/main" id="{2E4D5832-62D0-4C00-94A9-7254D52BC99B}"/>
            </a:ext>
          </a:extLst>
        </xdr:cNvPr>
        <xdr:cNvSpPr/>
      </xdr:nvSpPr>
      <xdr:spPr>
        <a:xfrm>
          <a:off x="11062137" y="7672553"/>
          <a:ext cx="3928243" cy="683173"/>
        </a:xfrm>
        <a:prstGeom prst="rect">
          <a:avLst/>
        </a:prstGeom>
        <a:solidFill>
          <a:srgbClr val="CC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324506</xdr:colOff>
      <xdr:row>35</xdr:row>
      <xdr:rowOff>74886</xdr:rowOff>
    </xdr:from>
    <xdr:to>
      <xdr:col>21</xdr:col>
      <xdr:colOff>30217</xdr:colOff>
      <xdr:row>40</xdr:row>
      <xdr:rowOff>69631</xdr:rowOff>
    </xdr:to>
    <xdr:sp macro="" textlink="">
      <xdr:nvSpPr>
        <xdr:cNvPr id="55" name="TextBox 54">
          <a:extLst>
            <a:ext uri="{FF2B5EF4-FFF2-40B4-BE49-F238E27FC236}">
              <a16:creationId xmlns:a16="http://schemas.microsoft.com/office/drawing/2014/main" id="{C352E283-480D-A663-44C4-55C36C165074}"/>
            </a:ext>
          </a:extLst>
        </xdr:cNvPr>
        <xdr:cNvSpPr txBox="1"/>
      </xdr:nvSpPr>
      <xdr:spPr>
        <a:xfrm>
          <a:off x="11807058" y="6512472"/>
          <a:ext cx="91440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oneCellAnchor>
    <xdr:from>
      <xdr:col>27</xdr:col>
      <xdr:colOff>591207</xdr:colOff>
      <xdr:row>46</xdr:row>
      <xdr:rowOff>78827</xdr:rowOff>
    </xdr:from>
    <xdr:ext cx="184731" cy="264560"/>
    <xdr:sp macro="" textlink="">
      <xdr:nvSpPr>
        <xdr:cNvPr id="56" name="TextBox 55">
          <a:extLst>
            <a:ext uri="{FF2B5EF4-FFF2-40B4-BE49-F238E27FC236}">
              <a16:creationId xmlns:a16="http://schemas.microsoft.com/office/drawing/2014/main" id="{4FBB0BBA-C269-BC55-5386-B75EB4499B80}"/>
            </a:ext>
          </a:extLst>
        </xdr:cNvPr>
        <xdr:cNvSpPr txBox="1"/>
      </xdr:nvSpPr>
      <xdr:spPr>
        <a:xfrm>
          <a:off x="16908517" y="853965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18</xdr:col>
      <xdr:colOff>197069</xdr:colOff>
      <xdr:row>42</xdr:row>
      <xdr:rowOff>0</xdr:rowOff>
    </xdr:from>
    <xdr:to>
      <xdr:col>24</xdr:col>
      <xdr:colOff>433552</xdr:colOff>
      <xdr:row>44</xdr:row>
      <xdr:rowOff>144517</xdr:rowOff>
    </xdr:to>
    <xdr:sp macro="" textlink="">
      <xdr:nvSpPr>
        <xdr:cNvPr id="57" name="TextBox 56">
          <a:extLst>
            <a:ext uri="{FF2B5EF4-FFF2-40B4-BE49-F238E27FC236}">
              <a16:creationId xmlns:a16="http://schemas.microsoft.com/office/drawing/2014/main" id="{D35DC418-2485-D972-0ADB-F1D71D02CC02}"/>
            </a:ext>
          </a:extLst>
        </xdr:cNvPr>
        <xdr:cNvSpPr txBox="1"/>
      </xdr:nvSpPr>
      <xdr:spPr>
        <a:xfrm>
          <a:off x="11075276" y="7725103"/>
          <a:ext cx="3862552" cy="512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i="1"/>
            <a:t>Temperature by State</a:t>
          </a:r>
        </a:p>
      </xdr:txBody>
    </xdr:sp>
    <xdr:clientData/>
  </xdr:twoCellAnchor>
  <xdr:twoCellAnchor>
    <xdr:from>
      <xdr:col>5</xdr:col>
      <xdr:colOff>289036</xdr:colOff>
      <xdr:row>8</xdr:row>
      <xdr:rowOff>13138</xdr:rowOff>
    </xdr:from>
    <xdr:to>
      <xdr:col>9</xdr:col>
      <xdr:colOff>381001</xdr:colOff>
      <xdr:row>11</xdr:row>
      <xdr:rowOff>0</xdr:rowOff>
    </xdr:to>
    <xdr:sp macro="" textlink="">
      <xdr:nvSpPr>
        <xdr:cNvPr id="59" name="TextBox 58">
          <a:extLst>
            <a:ext uri="{FF2B5EF4-FFF2-40B4-BE49-F238E27FC236}">
              <a16:creationId xmlns:a16="http://schemas.microsoft.com/office/drawing/2014/main" id="{5F6580B1-F7E2-1EFD-28CC-966552719C65}"/>
            </a:ext>
          </a:extLst>
        </xdr:cNvPr>
        <xdr:cNvSpPr txBox="1"/>
      </xdr:nvSpPr>
      <xdr:spPr>
        <a:xfrm>
          <a:off x="3310760" y="1484586"/>
          <a:ext cx="2509344" cy="5386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600" b="1" i="0" u="none" strike="noStrike">
              <a:solidFill>
                <a:schemeClr val="dk1"/>
              </a:solidFill>
              <a:effectLst/>
              <a:latin typeface="+mn-lt"/>
              <a:ea typeface="+mn-ea"/>
              <a:cs typeface="+mn-cs"/>
            </a:rPr>
            <a:t>26.07 </a:t>
          </a:r>
          <a:endParaRPr lang="en-IN" sz="3600" b="1"/>
        </a:p>
      </xdr:txBody>
    </xdr:sp>
    <xdr:clientData/>
  </xdr:twoCellAnchor>
  <xdr:twoCellAnchor>
    <xdr:from>
      <xdr:col>19</xdr:col>
      <xdr:colOff>324506</xdr:colOff>
      <xdr:row>22</xdr:row>
      <xdr:rowOff>74886</xdr:rowOff>
    </xdr:from>
    <xdr:to>
      <xdr:col>21</xdr:col>
      <xdr:colOff>30217</xdr:colOff>
      <xdr:row>27</xdr:row>
      <xdr:rowOff>69631</xdr:rowOff>
    </xdr:to>
    <xdr:sp macro="" textlink="">
      <xdr:nvSpPr>
        <xdr:cNvPr id="60" name="TextBox 59">
          <a:extLst>
            <a:ext uri="{FF2B5EF4-FFF2-40B4-BE49-F238E27FC236}">
              <a16:creationId xmlns:a16="http://schemas.microsoft.com/office/drawing/2014/main" id="{CFFA5098-3D63-E94A-A7E4-7F4CC5CB8CF9}"/>
            </a:ext>
          </a:extLst>
        </xdr:cNvPr>
        <xdr:cNvSpPr txBox="1"/>
      </xdr:nvSpPr>
      <xdr:spPr>
        <a:xfrm>
          <a:off x="11807058" y="4121369"/>
          <a:ext cx="91440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10</xdr:col>
      <xdr:colOff>144517</xdr:colOff>
      <xdr:row>7</xdr:row>
      <xdr:rowOff>157655</xdr:rowOff>
    </xdr:from>
    <xdr:to>
      <xdr:col>14</xdr:col>
      <xdr:colOff>486102</xdr:colOff>
      <xdr:row>11</xdr:row>
      <xdr:rowOff>13138</xdr:rowOff>
    </xdr:to>
    <xdr:sp macro="" textlink="">
      <xdr:nvSpPr>
        <xdr:cNvPr id="61" name="TextBox 60">
          <a:extLst>
            <a:ext uri="{FF2B5EF4-FFF2-40B4-BE49-F238E27FC236}">
              <a16:creationId xmlns:a16="http://schemas.microsoft.com/office/drawing/2014/main" id="{CBFD479F-321B-9CA5-0A6E-A4D5F38F99C6}"/>
            </a:ext>
          </a:extLst>
        </xdr:cNvPr>
        <xdr:cNvSpPr txBox="1"/>
      </xdr:nvSpPr>
      <xdr:spPr>
        <a:xfrm>
          <a:off x="6187965" y="1445172"/>
          <a:ext cx="2758965" cy="5912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600" b="1" i="0" u="none" strike="noStrike">
              <a:solidFill>
                <a:schemeClr val="dk1"/>
              </a:solidFill>
              <a:effectLst/>
              <a:latin typeface="+mn-lt"/>
              <a:ea typeface="+mn-ea"/>
              <a:cs typeface="+mn-cs"/>
            </a:rPr>
            <a:t>   64.02 </a:t>
          </a:r>
          <a:r>
            <a:rPr lang="en-IN" sz="3600"/>
            <a:t>💧</a:t>
          </a:r>
          <a:endParaRPr lang="en-IN" sz="3600" b="1" i="0"/>
        </a:p>
      </xdr:txBody>
    </xdr:sp>
    <xdr:clientData/>
  </xdr:twoCellAnchor>
  <xdr:twoCellAnchor>
    <xdr:from>
      <xdr:col>15</xdr:col>
      <xdr:colOff>118242</xdr:colOff>
      <xdr:row>7</xdr:row>
      <xdr:rowOff>131380</xdr:rowOff>
    </xdr:from>
    <xdr:to>
      <xdr:col>19</xdr:col>
      <xdr:colOff>420414</xdr:colOff>
      <xdr:row>10</xdr:row>
      <xdr:rowOff>118242</xdr:rowOff>
    </xdr:to>
    <xdr:sp macro="" textlink="">
      <xdr:nvSpPr>
        <xdr:cNvPr id="62" name="TextBox 61">
          <a:extLst>
            <a:ext uri="{FF2B5EF4-FFF2-40B4-BE49-F238E27FC236}">
              <a16:creationId xmlns:a16="http://schemas.microsoft.com/office/drawing/2014/main" id="{776203F5-9ADA-9EAB-8262-2792F52085F3}"/>
            </a:ext>
          </a:extLst>
        </xdr:cNvPr>
        <xdr:cNvSpPr txBox="1"/>
      </xdr:nvSpPr>
      <xdr:spPr>
        <a:xfrm>
          <a:off x="9183414" y="1418897"/>
          <a:ext cx="2719552" cy="5386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600" b="1" i="0" u="none" strike="noStrike">
              <a:solidFill>
                <a:schemeClr val="dk1"/>
              </a:solidFill>
              <a:effectLst/>
              <a:latin typeface="+mn-lt"/>
              <a:ea typeface="+mn-ea"/>
              <a:cs typeface="+mn-cs"/>
            </a:rPr>
            <a:t>   21962</a:t>
          </a:r>
          <a:r>
            <a:rPr lang="en-IN" sz="3600" b="1">
              <a:effectLst/>
            </a:rPr>
            <a:t> </a:t>
          </a:r>
          <a:endParaRPr lang="en-IN" sz="3600" b="1"/>
        </a:p>
      </xdr:txBody>
    </xdr:sp>
    <xdr:clientData/>
  </xdr:twoCellAnchor>
  <xdr:twoCellAnchor>
    <xdr:from>
      <xdr:col>20</xdr:col>
      <xdr:colOff>78827</xdr:colOff>
      <xdr:row>8</xdr:row>
      <xdr:rowOff>39414</xdr:rowOff>
    </xdr:from>
    <xdr:to>
      <xdr:col>24</xdr:col>
      <xdr:colOff>289034</xdr:colOff>
      <xdr:row>11</xdr:row>
      <xdr:rowOff>39414</xdr:rowOff>
    </xdr:to>
    <xdr:sp macro="" textlink="">
      <xdr:nvSpPr>
        <xdr:cNvPr id="63" name="TextBox 62">
          <a:extLst>
            <a:ext uri="{FF2B5EF4-FFF2-40B4-BE49-F238E27FC236}">
              <a16:creationId xmlns:a16="http://schemas.microsoft.com/office/drawing/2014/main" id="{A3A29BC0-3C2D-5428-8653-9EF76ECBA033}"/>
            </a:ext>
          </a:extLst>
        </xdr:cNvPr>
        <xdr:cNvSpPr txBox="1"/>
      </xdr:nvSpPr>
      <xdr:spPr>
        <a:xfrm>
          <a:off x="12165724" y="1510862"/>
          <a:ext cx="2627586" cy="5517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600" b="1" i="0" u="none" strike="noStrike">
              <a:solidFill>
                <a:schemeClr val="dk1"/>
              </a:solidFill>
              <a:effectLst/>
              <a:latin typeface="+mn-lt"/>
              <a:ea typeface="+mn-ea"/>
              <a:cs typeface="+mn-cs"/>
            </a:rPr>
            <a:t>  18.1</a:t>
          </a:r>
          <a:r>
            <a:rPr lang="en-IN" sz="3600" b="1">
              <a:effectLst/>
            </a:rPr>
            <a:t> </a:t>
          </a:r>
          <a:endParaRPr lang="en-IN" sz="3600" b="1"/>
        </a:p>
      </xdr:txBody>
    </xdr:sp>
    <xdr:clientData/>
  </xdr:twoCellAnchor>
  <xdr:twoCellAnchor>
    <xdr:from>
      <xdr:col>11</xdr:col>
      <xdr:colOff>538653</xdr:colOff>
      <xdr:row>45</xdr:row>
      <xdr:rowOff>144519</xdr:rowOff>
    </xdr:from>
    <xdr:to>
      <xdr:col>18</xdr:col>
      <xdr:colOff>91965</xdr:colOff>
      <xdr:row>59</xdr:row>
      <xdr:rowOff>106680</xdr:rowOff>
    </xdr:to>
    <xdr:graphicFrame macro="">
      <xdr:nvGraphicFramePr>
        <xdr:cNvPr id="27" name="Chart 26">
          <a:extLst>
            <a:ext uri="{FF2B5EF4-FFF2-40B4-BE49-F238E27FC236}">
              <a16:creationId xmlns:a16="http://schemas.microsoft.com/office/drawing/2014/main" id="{5B8E0E9C-1201-4B9F-811F-E11C6DE6F6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22</xdr:col>
      <xdr:colOff>183931</xdr:colOff>
      <xdr:row>8</xdr:row>
      <xdr:rowOff>21021</xdr:rowOff>
    </xdr:from>
    <xdr:to>
      <xdr:col>23</xdr:col>
      <xdr:colOff>433553</xdr:colOff>
      <xdr:row>11</xdr:row>
      <xdr:rowOff>73573</xdr:rowOff>
    </xdr:to>
    <xdr:pic>
      <xdr:nvPicPr>
        <xdr:cNvPr id="64" name="Graphic 63" descr="Leaf with solid fill">
          <a:extLst>
            <a:ext uri="{FF2B5EF4-FFF2-40B4-BE49-F238E27FC236}">
              <a16:creationId xmlns:a16="http://schemas.microsoft.com/office/drawing/2014/main" id="{387F6A0C-13B6-6A3E-5491-F41AAC3F5C82}"/>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3479517" y="1492469"/>
          <a:ext cx="853967" cy="604345"/>
        </a:xfrm>
        <a:prstGeom prst="rect">
          <a:avLst/>
        </a:prstGeom>
      </xdr:spPr>
    </xdr:pic>
    <xdr:clientData/>
  </xdr:twoCellAnchor>
  <xdr:twoCellAnchor editAs="oneCell">
    <xdr:from>
      <xdr:col>7</xdr:col>
      <xdr:colOff>499241</xdr:colOff>
      <xdr:row>7</xdr:row>
      <xdr:rowOff>178678</xdr:rowOff>
    </xdr:from>
    <xdr:to>
      <xdr:col>9</xdr:col>
      <xdr:colOff>105104</xdr:colOff>
      <xdr:row>11</xdr:row>
      <xdr:rowOff>73574</xdr:rowOff>
    </xdr:to>
    <xdr:pic>
      <xdr:nvPicPr>
        <xdr:cNvPr id="67" name="Graphic 66" descr="Sun with solid fill">
          <a:extLst>
            <a:ext uri="{FF2B5EF4-FFF2-40B4-BE49-F238E27FC236}">
              <a16:creationId xmlns:a16="http://schemas.microsoft.com/office/drawing/2014/main" id="{E18D4F41-C834-D6F1-7B7A-126383CBA846}"/>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4729655" y="1466195"/>
          <a:ext cx="814552" cy="630620"/>
        </a:xfrm>
        <a:prstGeom prst="rect">
          <a:avLst/>
        </a:prstGeom>
      </xdr:spPr>
    </xdr:pic>
    <xdr:clientData/>
  </xdr:twoCellAnchor>
  <xdr:twoCellAnchor editAs="oneCell">
    <xdr:from>
      <xdr:col>18</xdr:col>
      <xdr:colOff>39414</xdr:colOff>
      <xdr:row>8</xdr:row>
      <xdr:rowOff>47297</xdr:rowOff>
    </xdr:from>
    <xdr:to>
      <xdr:col>19</xdr:col>
      <xdr:colOff>223346</xdr:colOff>
      <xdr:row>11</xdr:row>
      <xdr:rowOff>34159</xdr:rowOff>
    </xdr:to>
    <xdr:pic>
      <xdr:nvPicPr>
        <xdr:cNvPr id="69" name="Graphic 68" descr="Cloud with solid fill">
          <a:extLst>
            <a:ext uri="{FF2B5EF4-FFF2-40B4-BE49-F238E27FC236}">
              <a16:creationId xmlns:a16="http://schemas.microsoft.com/office/drawing/2014/main" id="{E1706475-1626-BF54-B05D-885878033EAD}"/>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0917621" y="1518745"/>
          <a:ext cx="788277" cy="538655"/>
        </a:xfrm>
        <a:prstGeom prst="rect">
          <a:avLst/>
        </a:prstGeom>
      </xdr:spPr>
    </xdr:pic>
    <xdr:clientData/>
  </xdr:twoCellAnchor>
  <xdr:twoCellAnchor>
    <xdr:from>
      <xdr:col>0</xdr:col>
      <xdr:colOff>137160</xdr:colOff>
      <xdr:row>14</xdr:row>
      <xdr:rowOff>106680</xdr:rowOff>
    </xdr:from>
    <xdr:to>
      <xdr:col>4</xdr:col>
      <xdr:colOff>396240</xdr:colOff>
      <xdr:row>19</xdr:row>
      <xdr:rowOff>121920</xdr:rowOff>
    </xdr:to>
    <xdr:sp macro="" textlink="">
      <xdr:nvSpPr>
        <xdr:cNvPr id="73" name="Rectangle: Rounded Corners 72">
          <a:hlinkClick xmlns:r="http://schemas.openxmlformats.org/officeDocument/2006/relationships" r:id="rId1"/>
          <a:extLst>
            <a:ext uri="{FF2B5EF4-FFF2-40B4-BE49-F238E27FC236}">
              <a16:creationId xmlns:a16="http://schemas.microsoft.com/office/drawing/2014/main" id="{EB920299-91B0-3B48-401B-045072179C21}"/>
            </a:ext>
          </a:extLst>
        </xdr:cNvPr>
        <xdr:cNvSpPr/>
      </xdr:nvSpPr>
      <xdr:spPr>
        <a:xfrm>
          <a:off x="137160" y="2667000"/>
          <a:ext cx="2697480" cy="929640"/>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243840</xdr:colOff>
      <xdr:row>23</xdr:row>
      <xdr:rowOff>0</xdr:rowOff>
    </xdr:from>
    <xdr:to>
      <xdr:col>4</xdr:col>
      <xdr:colOff>167640</xdr:colOff>
      <xdr:row>28</xdr:row>
      <xdr:rowOff>160020</xdr:rowOff>
    </xdr:to>
    <xdr:sp macro="" textlink="">
      <xdr:nvSpPr>
        <xdr:cNvPr id="74" name="TextBox 73">
          <a:extLst>
            <a:ext uri="{FF2B5EF4-FFF2-40B4-BE49-F238E27FC236}">
              <a16:creationId xmlns:a16="http://schemas.microsoft.com/office/drawing/2014/main" id="{75F2B8AF-6C21-13DC-85BC-4168A0042947}"/>
            </a:ext>
          </a:extLst>
        </xdr:cNvPr>
        <xdr:cNvSpPr txBox="1"/>
      </xdr:nvSpPr>
      <xdr:spPr>
        <a:xfrm>
          <a:off x="243840" y="4206240"/>
          <a:ext cx="2362200" cy="1074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3200">
            <a:solidFill>
              <a:srgbClr val="FF0000"/>
            </a:solidFill>
          </a:endParaRPr>
        </a:p>
      </xdr:txBody>
    </xdr:sp>
    <xdr:clientData/>
  </xdr:twoCellAnchor>
  <xdr:oneCellAnchor>
    <xdr:from>
      <xdr:col>28</xdr:col>
      <xdr:colOff>350520</xdr:colOff>
      <xdr:row>40</xdr:row>
      <xdr:rowOff>76200</xdr:rowOff>
    </xdr:from>
    <xdr:ext cx="184731" cy="264560"/>
    <xdr:sp macro="" textlink="">
      <xdr:nvSpPr>
        <xdr:cNvPr id="75" name="TextBox 74">
          <a:extLst>
            <a:ext uri="{FF2B5EF4-FFF2-40B4-BE49-F238E27FC236}">
              <a16:creationId xmlns:a16="http://schemas.microsoft.com/office/drawing/2014/main" id="{5A4D9E62-A0FE-F317-F51D-5167AAED140B}"/>
            </a:ext>
          </a:extLst>
        </xdr:cNvPr>
        <xdr:cNvSpPr txBox="1"/>
      </xdr:nvSpPr>
      <xdr:spPr>
        <a:xfrm>
          <a:off x="17419320" y="739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0</xdr:col>
      <xdr:colOff>106680</xdr:colOff>
      <xdr:row>21</xdr:row>
      <xdr:rowOff>60960</xdr:rowOff>
    </xdr:from>
    <xdr:to>
      <xdr:col>4</xdr:col>
      <xdr:colOff>381000</xdr:colOff>
      <xdr:row>26</xdr:row>
      <xdr:rowOff>76200</xdr:rowOff>
    </xdr:to>
    <xdr:sp macro="" textlink="">
      <xdr:nvSpPr>
        <xdr:cNvPr id="76" name="Rectangle: Rounded Corners 75">
          <a:hlinkClick xmlns:r="http://schemas.openxmlformats.org/officeDocument/2006/relationships" r:id="rId14"/>
          <a:extLst>
            <a:ext uri="{FF2B5EF4-FFF2-40B4-BE49-F238E27FC236}">
              <a16:creationId xmlns:a16="http://schemas.microsoft.com/office/drawing/2014/main" id="{5A69B252-D2D5-8DFE-449C-F6847C0ABA14}"/>
            </a:ext>
          </a:extLst>
        </xdr:cNvPr>
        <xdr:cNvSpPr/>
      </xdr:nvSpPr>
      <xdr:spPr>
        <a:xfrm>
          <a:off x="106680" y="3901440"/>
          <a:ext cx="2712720" cy="929640"/>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TE</a:t>
          </a:r>
        </a:p>
      </xdr:txBody>
    </xdr:sp>
    <xdr:clientData/>
  </xdr:twoCellAnchor>
  <xdr:twoCellAnchor>
    <xdr:from>
      <xdr:col>0</xdr:col>
      <xdr:colOff>213360</xdr:colOff>
      <xdr:row>29</xdr:row>
      <xdr:rowOff>45720</xdr:rowOff>
    </xdr:from>
    <xdr:to>
      <xdr:col>4</xdr:col>
      <xdr:colOff>137160</xdr:colOff>
      <xdr:row>35</xdr:row>
      <xdr:rowOff>22860</xdr:rowOff>
    </xdr:to>
    <xdr:sp macro="" textlink="">
      <xdr:nvSpPr>
        <xdr:cNvPr id="77" name="TextBox 76">
          <a:extLst>
            <a:ext uri="{FF2B5EF4-FFF2-40B4-BE49-F238E27FC236}">
              <a16:creationId xmlns:a16="http://schemas.microsoft.com/office/drawing/2014/main" id="{A4B7251F-DDA5-772F-7989-4433EA933E9E}"/>
            </a:ext>
          </a:extLst>
        </xdr:cNvPr>
        <xdr:cNvSpPr txBox="1"/>
      </xdr:nvSpPr>
      <xdr:spPr>
        <a:xfrm>
          <a:off x="213360" y="5349240"/>
          <a:ext cx="2362200" cy="1074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3200">
            <a:solidFill>
              <a:srgbClr val="FF0000"/>
            </a:solidFill>
          </a:endParaRPr>
        </a:p>
      </xdr:txBody>
    </xdr:sp>
    <xdr:clientData/>
  </xdr:twoCellAnchor>
  <xdr:twoCellAnchor>
    <xdr:from>
      <xdr:col>0</xdr:col>
      <xdr:colOff>137160</xdr:colOff>
      <xdr:row>28</xdr:row>
      <xdr:rowOff>15240</xdr:rowOff>
    </xdr:from>
    <xdr:to>
      <xdr:col>4</xdr:col>
      <xdr:colOff>350520</xdr:colOff>
      <xdr:row>33</xdr:row>
      <xdr:rowOff>30480</xdr:rowOff>
    </xdr:to>
    <xdr:sp macro="" textlink="">
      <xdr:nvSpPr>
        <xdr:cNvPr id="78" name="Rectangle: Rounded Corners 77">
          <a:hlinkClick xmlns:r="http://schemas.openxmlformats.org/officeDocument/2006/relationships" r:id="rId14"/>
          <a:extLst>
            <a:ext uri="{FF2B5EF4-FFF2-40B4-BE49-F238E27FC236}">
              <a16:creationId xmlns:a16="http://schemas.microsoft.com/office/drawing/2014/main" id="{42AE0D35-591B-3142-DEC2-EB92A509691A}"/>
            </a:ext>
          </a:extLst>
        </xdr:cNvPr>
        <xdr:cNvSpPr/>
      </xdr:nvSpPr>
      <xdr:spPr>
        <a:xfrm>
          <a:off x="137160" y="5135880"/>
          <a:ext cx="2651760" cy="929640"/>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152400</xdr:colOff>
      <xdr:row>36</xdr:row>
      <xdr:rowOff>76200</xdr:rowOff>
    </xdr:from>
    <xdr:to>
      <xdr:col>4</xdr:col>
      <xdr:colOff>76200</xdr:colOff>
      <xdr:row>42</xdr:row>
      <xdr:rowOff>53340</xdr:rowOff>
    </xdr:to>
    <xdr:sp macro="" textlink="">
      <xdr:nvSpPr>
        <xdr:cNvPr id="79" name="TextBox 78">
          <a:extLst>
            <a:ext uri="{FF2B5EF4-FFF2-40B4-BE49-F238E27FC236}">
              <a16:creationId xmlns:a16="http://schemas.microsoft.com/office/drawing/2014/main" id="{9418B88C-8E57-1007-60C2-F147430FE744}"/>
            </a:ext>
          </a:extLst>
        </xdr:cNvPr>
        <xdr:cNvSpPr txBox="1"/>
      </xdr:nvSpPr>
      <xdr:spPr>
        <a:xfrm>
          <a:off x="152400" y="6659880"/>
          <a:ext cx="2362200" cy="1074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3200">
            <a:solidFill>
              <a:srgbClr val="FF0000"/>
            </a:solidFill>
          </a:endParaRPr>
        </a:p>
      </xdr:txBody>
    </xdr:sp>
    <xdr:clientData/>
  </xdr:twoCellAnchor>
  <xdr:twoCellAnchor>
    <xdr:from>
      <xdr:col>0</xdr:col>
      <xdr:colOff>106680</xdr:colOff>
      <xdr:row>34</xdr:row>
      <xdr:rowOff>152400</xdr:rowOff>
    </xdr:from>
    <xdr:to>
      <xdr:col>4</xdr:col>
      <xdr:colOff>365760</xdr:colOff>
      <xdr:row>39</xdr:row>
      <xdr:rowOff>167640</xdr:rowOff>
    </xdr:to>
    <xdr:sp macro="" textlink="">
      <xdr:nvSpPr>
        <xdr:cNvPr id="80" name="Rectangle: Rounded Corners 79">
          <a:extLst>
            <a:ext uri="{FF2B5EF4-FFF2-40B4-BE49-F238E27FC236}">
              <a16:creationId xmlns:a16="http://schemas.microsoft.com/office/drawing/2014/main" id="{4FEB9790-DD52-82FC-6D30-E2EEA7BBE2D2}"/>
            </a:ext>
          </a:extLst>
        </xdr:cNvPr>
        <xdr:cNvSpPr/>
      </xdr:nvSpPr>
      <xdr:spPr>
        <a:xfrm>
          <a:off x="106680" y="6370320"/>
          <a:ext cx="2697480" cy="929640"/>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198120</xdr:colOff>
      <xdr:row>42</xdr:row>
      <xdr:rowOff>45720</xdr:rowOff>
    </xdr:from>
    <xdr:to>
      <xdr:col>4</xdr:col>
      <xdr:colOff>121920</xdr:colOff>
      <xdr:row>48</xdr:row>
      <xdr:rowOff>22860</xdr:rowOff>
    </xdr:to>
    <xdr:sp macro="" textlink="">
      <xdr:nvSpPr>
        <xdr:cNvPr id="81" name="TextBox 80">
          <a:hlinkClick xmlns:r="http://schemas.openxmlformats.org/officeDocument/2006/relationships" r:id="rId1"/>
          <a:extLst>
            <a:ext uri="{FF2B5EF4-FFF2-40B4-BE49-F238E27FC236}">
              <a16:creationId xmlns:a16="http://schemas.microsoft.com/office/drawing/2014/main" id="{45619CB9-1952-BD55-7628-C6323F5C1F1B}"/>
            </a:ext>
          </a:extLst>
        </xdr:cNvPr>
        <xdr:cNvSpPr txBox="1"/>
      </xdr:nvSpPr>
      <xdr:spPr>
        <a:xfrm>
          <a:off x="198120" y="7726680"/>
          <a:ext cx="2362200" cy="1074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3200">
            <a:solidFill>
              <a:srgbClr val="FF0000"/>
            </a:solidFill>
          </a:endParaRPr>
        </a:p>
      </xdr:txBody>
    </xdr:sp>
    <xdr:clientData/>
  </xdr:twoCellAnchor>
  <xdr:twoCellAnchor>
    <xdr:from>
      <xdr:col>0</xdr:col>
      <xdr:colOff>106680</xdr:colOff>
      <xdr:row>41</xdr:row>
      <xdr:rowOff>152400</xdr:rowOff>
    </xdr:from>
    <xdr:to>
      <xdr:col>4</xdr:col>
      <xdr:colOff>350520</xdr:colOff>
      <xdr:row>46</xdr:row>
      <xdr:rowOff>167640</xdr:rowOff>
    </xdr:to>
    <xdr:sp macro="" textlink="">
      <xdr:nvSpPr>
        <xdr:cNvPr id="82" name="Rectangle: Rounded Corners 81">
          <a:hlinkClick xmlns:r="http://schemas.openxmlformats.org/officeDocument/2006/relationships" r:id="rId15"/>
          <a:extLst>
            <a:ext uri="{FF2B5EF4-FFF2-40B4-BE49-F238E27FC236}">
              <a16:creationId xmlns:a16="http://schemas.microsoft.com/office/drawing/2014/main" id="{2C525B0A-4C7A-BA0A-38A0-61779AEFF585}"/>
            </a:ext>
          </a:extLst>
        </xdr:cNvPr>
        <xdr:cNvSpPr/>
      </xdr:nvSpPr>
      <xdr:spPr>
        <a:xfrm>
          <a:off x="106680" y="7650480"/>
          <a:ext cx="2682240" cy="929640"/>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289560</xdr:colOff>
      <xdr:row>15</xdr:row>
      <xdr:rowOff>30480</xdr:rowOff>
    </xdr:from>
    <xdr:to>
      <xdr:col>4</xdr:col>
      <xdr:colOff>411480</xdr:colOff>
      <xdr:row>19</xdr:row>
      <xdr:rowOff>99060</xdr:rowOff>
    </xdr:to>
    <xdr:sp macro="" textlink="">
      <xdr:nvSpPr>
        <xdr:cNvPr id="84" name="TextBox 83">
          <a:hlinkClick xmlns:r="http://schemas.openxmlformats.org/officeDocument/2006/relationships" r:id="rId16"/>
          <a:extLst>
            <a:ext uri="{FF2B5EF4-FFF2-40B4-BE49-F238E27FC236}">
              <a16:creationId xmlns:a16="http://schemas.microsoft.com/office/drawing/2014/main" id="{E01303F8-FCDB-BAD3-6E1D-D0B077C57DE0}"/>
            </a:ext>
          </a:extLst>
        </xdr:cNvPr>
        <xdr:cNvSpPr txBox="1"/>
      </xdr:nvSpPr>
      <xdr:spPr>
        <a:xfrm>
          <a:off x="289560" y="2773680"/>
          <a:ext cx="2560320" cy="800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b="1">
              <a:solidFill>
                <a:schemeClr val="tx1"/>
              </a:solidFill>
            </a:rPr>
            <a:t>DASHBOARD</a:t>
          </a:r>
        </a:p>
      </xdr:txBody>
    </xdr:sp>
    <xdr:clientData/>
  </xdr:twoCellAnchor>
  <xdr:twoCellAnchor>
    <xdr:from>
      <xdr:col>30</xdr:col>
      <xdr:colOff>15240</xdr:colOff>
      <xdr:row>48</xdr:row>
      <xdr:rowOff>60961</xdr:rowOff>
    </xdr:from>
    <xdr:to>
      <xdr:col>36</xdr:col>
      <xdr:colOff>213360</xdr:colOff>
      <xdr:row>50</xdr:row>
      <xdr:rowOff>167640</xdr:rowOff>
    </xdr:to>
    <xdr:sp macro="" textlink="">
      <xdr:nvSpPr>
        <xdr:cNvPr id="85" name="TextBox 84">
          <a:extLst>
            <a:ext uri="{FF2B5EF4-FFF2-40B4-BE49-F238E27FC236}">
              <a16:creationId xmlns:a16="http://schemas.microsoft.com/office/drawing/2014/main" id="{A24AC488-FA00-FF40-BF6B-B269D9E0F51F}"/>
            </a:ext>
          </a:extLst>
        </xdr:cNvPr>
        <xdr:cNvSpPr txBox="1"/>
      </xdr:nvSpPr>
      <xdr:spPr>
        <a:xfrm>
          <a:off x="18303240" y="8839201"/>
          <a:ext cx="3855720" cy="4724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0</xdr:col>
      <xdr:colOff>243840</xdr:colOff>
      <xdr:row>21</xdr:row>
      <xdr:rowOff>121920</xdr:rowOff>
    </xdr:from>
    <xdr:to>
      <xdr:col>4</xdr:col>
      <xdr:colOff>289560</xdr:colOff>
      <xdr:row>26</xdr:row>
      <xdr:rowOff>91440</xdr:rowOff>
    </xdr:to>
    <xdr:sp macro="" textlink="">
      <xdr:nvSpPr>
        <xdr:cNvPr id="86" name="TextBox 85">
          <a:extLst>
            <a:ext uri="{FF2B5EF4-FFF2-40B4-BE49-F238E27FC236}">
              <a16:creationId xmlns:a16="http://schemas.microsoft.com/office/drawing/2014/main" id="{0F5AEA30-5089-839C-ABE0-2177034990CF}"/>
            </a:ext>
          </a:extLst>
        </xdr:cNvPr>
        <xdr:cNvSpPr txBox="1"/>
      </xdr:nvSpPr>
      <xdr:spPr>
        <a:xfrm>
          <a:off x="243840" y="3962400"/>
          <a:ext cx="2484120" cy="883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a:solidFill>
                <a:sysClr val="windowText" lastClr="000000"/>
              </a:solidFill>
            </a:rPr>
            <a:t>TEMPERATURE</a:t>
          </a:r>
        </a:p>
      </xdr:txBody>
    </xdr:sp>
    <xdr:clientData/>
  </xdr:twoCellAnchor>
  <xdr:twoCellAnchor>
    <xdr:from>
      <xdr:col>0</xdr:col>
      <xdr:colOff>198120</xdr:colOff>
      <xdr:row>28</xdr:row>
      <xdr:rowOff>91440</xdr:rowOff>
    </xdr:from>
    <xdr:to>
      <xdr:col>4</xdr:col>
      <xdr:colOff>274320</xdr:colOff>
      <xdr:row>32</xdr:row>
      <xdr:rowOff>91440</xdr:rowOff>
    </xdr:to>
    <xdr:sp macro="" textlink="">
      <xdr:nvSpPr>
        <xdr:cNvPr id="87" name="TextBox 86">
          <a:hlinkClick xmlns:r="http://schemas.openxmlformats.org/officeDocument/2006/relationships" r:id="rId16"/>
          <a:extLst>
            <a:ext uri="{FF2B5EF4-FFF2-40B4-BE49-F238E27FC236}">
              <a16:creationId xmlns:a16="http://schemas.microsoft.com/office/drawing/2014/main" id="{118FAC26-0B52-2F8C-BB80-0205BA2EAF18}"/>
            </a:ext>
          </a:extLst>
        </xdr:cNvPr>
        <xdr:cNvSpPr txBox="1"/>
      </xdr:nvSpPr>
      <xdr:spPr>
        <a:xfrm>
          <a:off x="198120" y="5212080"/>
          <a:ext cx="2514600" cy="731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b="1"/>
            <a:t>HUMIDITY</a:t>
          </a:r>
        </a:p>
      </xdr:txBody>
    </xdr:sp>
    <xdr:clientData/>
  </xdr:twoCellAnchor>
  <xdr:twoCellAnchor>
    <xdr:from>
      <xdr:col>0</xdr:col>
      <xdr:colOff>137160</xdr:colOff>
      <xdr:row>35</xdr:row>
      <xdr:rowOff>30480</xdr:rowOff>
    </xdr:from>
    <xdr:to>
      <xdr:col>4</xdr:col>
      <xdr:colOff>289560</xdr:colOff>
      <xdr:row>40</xdr:row>
      <xdr:rowOff>30480</xdr:rowOff>
    </xdr:to>
    <xdr:sp macro="" textlink="">
      <xdr:nvSpPr>
        <xdr:cNvPr id="88" name="TextBox 87">
          <a:hlinkClick xmlns:r="http://schemas.openxmlformats.org/officeDocument/2006/relationships" r:id="rId1"/>
          <a:extLst>
            <a:ext uri="{FF2B5EF4-FFF2-40B4-BE49-F238E27FC236}">
              <a16:creationId xmlns:a16="http://schemas.microsoft.com/office/drawing/2014/main" id="{D3D67B16-24F1-E362-C965-7C6A5A4E6004}"/>
            </a:ext>
          </a:extLst>
        </xdr:cNvPr>
        <xdr:cNvSpPr txBox="1"/>
      </xdr:nvSpPr>
      <xdr:spPr>
        <a:xfrm>
          <a:off x="137160" y="6431280"/>
          <a:ext cx="259080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b="1"/>
            <a:t>WEATHER</a:t>
          </a:r>
        </a:p>
      </xdr:txBody>
    </xdr:sp>
    <xdr:clientData/>
  </xdr:twoCellAnchor>
  <xdr:twoCellAnchor>
    <xdr:from>
      <xdr:col>0</xdr:col>
      <xdr:colOff>152400</xdr:colOff>
      <xdr:row>42</xdr:row>
      <xdr:rowOff>30480</xdr:rowOff>
    </xdr:from>
    <xdr:to>
      <xdr:col>4</xdr:col>
      <xdr:colOff>274320</xdr:colOff>
      <xdr:row>46</xdr:row>
      <xdr:rowOff>121920</xdr:rowOff>
    </xdr:to>
    <xdr:sp macro="" textlink="">
      <xdr:nvSpPr>
        <xdr:cNvPr id="89" name="TextBox 88">
          <a:hlinkClick xmlns:r="http://schemas.openxmlformats.org/officeDocument/2006/relationships" r:id="rId14"/>
          <a:extLst>
            <a:ext uri="{FF2B5EF4-FFF2-40B4-BE49-F238E27FC236}">
              <a16:creationId xmlns:a16="http://schemas.microsoft.com/office/drawing/2014/main" id="{2625C115-0BFA-B0C6-5771-4A0ED5498C55}"/>
            </a:ext>
          </a:extLst>
        </xdr:cNvPr>
        <xdr:cNvSpPr txBox="1"/>
      </xdr:nvSpPr>
      <xdr:spPr>
        <a:xfrm>
          <a:off x="152400" y="7711440"/>
          <a:ext cx="2560320" cy="822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b="1"/>
            <a:t>RAINFALL</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190500</xdr:colOff>
      <xdr:row>1</xdr:row>
      <xdr:rowOff>121920</xdr:rowOff>
    </xdr:from>
    <xdr:to>
      <xdr:col>7</xdr:col>
      <xdr:colOff>579120</xdr:colOff>
      <xdr:row>12</xdr:row>
      <xdr:rowOff>137160</xdr:rowOff>
    </xdr:to>
    <xdr:graphicFrame macro="">
      <xdr:nvGraphicFramePr>
        <xdr:cNvPr id="2" name="Chart 1">
          <a:extLst>
            <a:ext uri="{FF2B5EF4-FFF2-40B4-BE49-F238E27FC236}">
              <a16:creationId xmlns:a16="http://schemas.microsoft.com/office/drawing/2014/main" id="{7059DCFB-D13A-EC26-EF0C-10C96B0F2A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213360</xdr:colOff>
      <xdr:row>1</xdr:row>
      <xdr:rowOff>45720</xdr:rowOff>
    </xdr:from>
    <xdr:to>
      <xdr:col>11</xdr:col>
      <xdr:colOff>213360</xdr:colOff>
      <xdr:row>12</xdr:row>
      <xdr:rowOff>83820</xdr:rowOff>
    </xdr:to>
    <mc:AlternateContent xmlns:mc="http://schemas.openxmlformats.org/markup-compatibility/2006" xmlns:a14="http://schemas.microsoft.com/office/drawing/2010/main">
      <mc:Choice Requires="a14">
        <xdr:graphicFrame macro="">
          <xdr:nvGraphicFramePr>
            <xdr:cNvPr id="3" name="Month">
              <a:extLst>
                <a:ext uri="{FF2B5EF4-FFF2-40B4-BE49-F238E27FC236}">
                  <a16:creationId xmlns:a16="http://schemas.microsoft.com/office/drawing/2014/main" id="{9F0A0F9B-A874-A90F-A20C-E63B533D78EF}"/>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7033260" y="228600"/>
              <a:ext cx="1828800" cy="2049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121920</xdr:colOff>
      <xdr:row>17</xdr:row>
      <xdr:rowOff>22860</xdr:rowOff>
    </xdr:from>
    <xdr:to>
      <xdr:col>7</xdr:col>
      <xdr:colOff>220980</xdr:colOff>
      <xdr:row>29</xdr:row>
      <xdr:rowOff>38100</xdr:rowOff>
    </xdr:to>
    <xdr:graphicFrame macro="">
      <xdr:nvGraphicFramePr>
        <xdr:cNvPr id="4" name="Chart 3">
          <a:extLst>
            <a:ext uri="{FF2B5EF4-FFF2-40B4-BE49-F238E27FC236}">
              <a16:creationId xmlns:a16="http://schemas.microsoft.com/office/drawing/2014/main" id="{1E0B407D-E257-F338-42EB-612A10210A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472440</xdr:colOff>
      <xdr:row>16</xdr:row>
      <xdr:rowOff>121921</xdr:rowOff>
    </xdr:from>
    <xdr:to>
      <xdr:col>10</xdr:col>
      <xdr:colOff>472440</xdr:colOff>
      <xdr:row>27</xdr:row>
      <xdr:rowOff>129541</xdr:rowOff>
    </xdr:to>
    <mc:AlternateContent xmlns:mc="http://schemas.openxmlformats.org/markup-compatibility/2006" xmlns:a14="http://schemas.microsoft.com/office/drawing/2010/main">
      <mc:Choice Requires="a14">
        <xdr:graphicFrame macro="">
          <xdr:nvGraphicFramePr>
            <xdr:cNvPr id="5" name="State">
              <a:extLst>
                <a:ext uri="{FF2B5EF4-FFF2-40B4-BE49-F238E27FC236}">
                  <a16:creationId xmlns:a16="http://schemas.microsoft.com/office/drawing/2014/main" id="{151182B7-6675-408A-D997-2C1C48AAEF50}"/>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6682740" y="3048001"/>
              <a:ext cx="1828800" cy="2019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114300</xdr:colOff>
      <xdr:row>32</xdr:row>
      <xdr:rowOff>3810</xdr:rowOff>
    </xdr:from>
    <xdr:to>
      <xdr:col>7</xdr:col>
      <xdr:colOff>259080</xdr:colOff>
      <xdr:row>46</xdr:row>
      <xdr:rowOff>53340</xdr:rowOff>
    </xdr:to>
    <xdr:graphicFrame macro="">
      <xdr:nvGraphicFramePr>
        <xdr:cNvPr id="6" name="Chart 5">
          <a:extLst>
            <a:ext uri="{FF2B5EF4-FFF2-40B4-BE49-F238E27FC236}">
              <a16:creationId xmlns:a16="http://schemas.microsoft.com/office/drawing/2014/main" id="{857E6242-13F4-3AF0-4236-30610C7015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518160</xdr:colOff>
      <xdr:row>33</xdr:row>
      <xdr:rowOff>1</xdr:rowOff>
    </xdr:from>
    <xdr:to>
      <xdr:col>10</xdr:col>
      <xdr:colOff>525780</xdr:colOff>
      <xdr:row>40</xdr:row>
      <xdr:rowOff>137160</xdr:rowOff>
    </xdr:to>
    <mc:AlternateContent xmlns:mc="http://schemas.openxmlformats.org/markup-compatibility/2006" xmlns:a14="http://schemas.microsoft.com/office/drawing/2010/main">
      <mc:Choice Requires="a14">
        <xdr:graphicFrame macro="">
          <xdr:nvGraphicFramePr>
            <xdr:cNvPr id="8" name="Season">
              <a:extLst>
                <a:ext uri="{FF2B5EF4-FFF2-40B4-BE49-F238E27FC236}">
                  <a16:creationId xmlns:a16="http://schemas.microsoft.com/office/drawing/2014/main" id="{E92B7449-9BCB-A371-3B0D-8113FB75B819}"/>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6728460" y="6035041"/>
              <a:ext cx="1836420" cy="14173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312420</xdr:colOff>
      <xdr:row>1</xdr:row>
      <xdr:rowOff>3810</xdr:rowOff>
    </xdr:from>
    <xdr:to>
      <xdr:col>18</xdr:col>
      <xdr:colOff>441960</xdr:colOff>
      <xdr:row>10</xdr:row>
      <xdr:rowOff>114300</xdr:rowOff>
    </xdr:to>
    <xdr:graphicFrame macro="">
      <xdr:nvGraphicFramePr>
        <xdr:cNvPr id="9" name="Chart 8">
          <a:extLst>
            <a:ext uri="{FF2B5EF4-FFF2-40B4-BE49-F238E27FC236}">
              <a16:creationId xmlns:a16="http://schemas.microsoft.com/office/drawing/2014/main" id="{6E8BA3D8-A855-06A8-81FF-30415A0DBA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18</xdr:col>
      <xdr:colOff>594360</xdr:colOff>
      <xdr:row>1</xdr:row>
      <xdr:rowOff>15240</xdr:rowOff>
    </xdr:from>
    <xdr:to>
      <xdr:col>21</xdr:col>
      <xdr:colOff>449580</xdr:colOff>
      <xdr:row>12</xdr:row>
      <xdr:rowOff>53340</xdr:rowOff>
    </xdr:to>
    <mc:AlternateContent xmlns:mc="http://schemas.openxmlformats.org/markup-compatibility/2006" xmlns:a14="http://schemas.microsoft.com/office/drawing/2010/main">
      <mc:Choice Requires="a14">
        <xdr:graphicFrame macro="">
          <xdr:nvGraphicFramePr>
            <xdr:cNvPr id="12" name="Month 2">
              <a:extLst>
                <a:ext uri="{FF2B5EF4-FFF2-40B4-BE49-F238E27FC236}">
                  <a16:creationId xmlns:a16="http://schemas.microsoft.com/office/drawing/2014/main" id="{D4FF421B-D7F5-7A9C-5B4E-6FA5056926CE}"/>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15529560" y="198120"/>
              <a:ext cx="1828800" cy="2049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220980</xdr:colOff>
      <xdr:row>32</xdr:row>
      <xdr:rowOff>171450</xdr:rowOff>
    </xdr:from>
    <xdr:to>
      <xdr:col>24</xdr:col>
      <xdr:colOff>365760</xdr:colOff>
      <xdr:row>47</xdr:row>
      <xdr:rowOff>171450</xdr:rowOff>
    </xdr:to>
    <mc:AlternateContent xmlns:mc="http://schemas.openxmlformats.org/markup-compatibility/2006">
      <mc:Choice xmlns:cx4="http://schemas.microsoft.com/office/drawing/2016/5/10/chartex" Requires="cx4">
        <xdr:graphicFrame macro="">
          <xdr:nvGraphicFramePr>
            <xdr:cNvPr id="26" name="Chart 25">
              <a:extLst>
                <a:ext uri="{FF2B5EF4-FFF2-40B4-BE49-F238E27FC236}">
                  <a16:creationId xmlns:a16="http://schemas.microsoft.com/office/drawing/2014/main" id="{5D319EDD-1DE5-4D3A-73C8-B28D20F52AB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5415260" y="6023610"/>
              <a:ext cx="286512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304800</xdr:colOff>
      <xdr:row>13</xdr:row>
      <xdr:rowOff>156210</xdr:rowOff>
    </xdr:from>
    <xdr:to>
      <xdr:col>17</xdr:col>
      <xdr:colOff>617220</xdr:colOff>
      <xdr:row>28</xdr:row>
      <xdr:rowOff>156210</xdr:rowOff>
    </xdr:to>
    <xdr:graphicFrame macro="">
      <xdr:nvGraphicFramePr>
        <xdr:cNvPr id="17" name="Chart 16">
          <a:extLst>
            <a:ext uri="{FF2B5EF4-FFF2-40B4-BE49-F238E27FC236}">
              <a16:creationId xmlns:a16="http://schemas.microsoft.com/office/drawing/2014/main" id="{844B664E-E7EC-9421-6902-3355CCD376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17</xdr:col>
      <xdr:colOff>792480</xdr:colOff>
      <xdr:row>13</xdr:row>
      <xdr:rowOff>129540</xdr:rowOff>
    </xdr:from>
    <xdr:to>
      <xdr:col>19</xdr:col>
      <xdr:colOff>251460</xdr:colOff>
      <xdr:row>27</xdr:row>
      <xdr:rowOff>36195</xdr:rowOff>
    </xdr:to>
    <mc:AlternateContent xmlns:mc="http://schemas.openxmlformats.org/markup-compatibility/2006" xmlns:a14="http://schemas.microsoft.com/office/drawing/2010/main">
      <mc:Choice Requires="a14">
        <xdr:graphicFrame macro="">
          <xdr:nvGraphicFramePr>
            <xdr:cNvPr id="18" name="Month 3">
              <a:extLst>
                <a:ext uri="{FF2B5EF4-FFF2-40B4-BE49-F238E27FC236}">
                  <a16:creationId xmlns:a16="http://schemas.microsoft.com/office/drawing/2014/main" id="{8C80B280-1502-61C7-582F-D6426DA582CF}"/>
                </a:ext>
              </a:extLst>
            </xdr:cNvPr>
            <xdr:cNvGraphicFramePr/>
          </xdr:nvGraphicFramePr>
          <xdr:xfrm>
            <a:off x="0" y="0"/>
            <a:ext cx="0" cy="0"/>
          </xdr:xfrm>
          <a:graphic>
            <a:graphicData uri="http://schemas.microsoft.com/office/drawing/2010/slicer">
              <sle:slicer xmlns:sle="http://schemas.microsoft.com/office/drawing/2010/slicer" name="Month 3"/>
            </a:graphicData>
          </a:graphic>
        </xdr:graphicFrame>
      </mc:Choice>
      <mc:Fallback xmlns="">
        <xdr:sp macro="" textlink="">
          <xdr:nvSpPr>
            <xdr:cNvPr id="0" name=""/>
            <xdr:cNvSpPr>
              <a:spLocks noTextEdit="1"/>
            </xdr:cNvSpPr>
          </xdr:nvSpPr>
          <xdr:spPr>
            <a:xfrm>
              <a:off x="13616940" y="25069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7620</xdr:colOff>
      <xdr:row>0</xdr:row>
      <xdr:rowOff>0</xdr:rowOff>
    </xdr:from>
    <xdr:to>
      <xdr:col>24</xdr:col>
      <xdr:colOff>549691</xdr:colOff>
      <xdr:row>60</xdr:row>
      <xdr:rowOff>100900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14EA8D73-50FD-4D0E-B118-600BBCE0E2B9}"/>
            </a:ext>
          </a:extLst>
        </xdr:cNvPr>
        <xdr:cNvSpPr/>
      </xdr:nvSpPr>
      <xdr:spPr>
        <a:xfrm>
          <a:off x="7620" y="0"/>
          <a:ext cx="15172471" cy="11073700"/>
        </a:xfrm>
        <a:prstGeom prst="roundRect">
          <a:avLst>
            <a:gd name="adj" fmla="val 1"/>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475068</xdr:colOff>
      <xdr:row>0</xdr:row>
      <xdr:rowOff>78827</xdr:rowOff>
    </xdr:from>
    <xdr:to>
      <xdr:col>24</xdr:col>
      <xdr:colOff>567033</xdr:colOff>
      <xdr:row>60</xdr:row>
      <xdr:rowOff>106680</xdr:rowOff>
    </xdr:to>
    <xdr:sp macro="" textlink="">
      <xdr:nvSpPr>
        <xdr:cNvPr id="3" name="Rectangle: Rounded Corners 2">
          <a:extLst>
            <a:ext uri="{FF2B5EF4-FFF2-40B4-BE49-F238E27FC236}">
              <a16:creationId xmlns:a16="http://schemas.microsoft.com/office/drawing/2014/main" id="{D2BBDCB2-4848-4498-8994-E4DC3E6F6A74}"/>
            </a:ext>
          </a:extLst>
        </xdr:cNvPr>
        <xdr:cNvSpPr/>
      </xdr:nvSpPr>
      <xdr:spPr>
        <a:xfrm>
          <a:off x="2913468" y="78827"/>
          <a:ext cx="12283965" cy="11473093"/>
        </a:xfrm>
        <a:prstGeom prst="roundRect">
          <a:avLst>
            <a:gd name="adj" fmla="val 1"/>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579120</xdr:colOff>
      <xdr:row>0</xdr:row>
      <xdr:rowOff>152400</xdr:rowOff>
    </xdr:from>
    <xdr:to>
      <xdr:col>24</xdr:col>
      <xdr:colOff>457200</xdr:colOff>
      <xdr:row>4</xdr:row>
      <xdr:rowOff>170793</xdr:rowOff>
    </xdr:to>
    <xdr:sp macro="" textlink="">
      <xdr:nvSpPr>
        <xdr:cNvPr id="4" name="Rectangle 3">
          <a:extLst>
            <a:ext uri="{FF2B5EF4-FFF2-40B4-BE49-F238E27FC236}">
              <a16:creationId xmlns:a16="http://schemas.microsoft.com/office/drawing/2014/main" id="{033FA96A-98A9-4154-B705-BB2693FF990F}"/>
            </a:ext>
          </a:extLst>
        </xdr:cNvPr>
        <xdr:cNvSpPr/>
      </xdr:nvSpPr>
      <xdr:spPr>
        <a:xfrm>
          <a:off x="3017520" y="152400"/>
          <a:ext cx="12070080" cy="749913"/>
        </a:xfrm>
        <a:prstGeom prst="rect">
          <a:avLst/>
        </a:prstGeom>
        <a:solidFill>
          <a:srgbClr val="002060"/>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433552</xdr:colOff>
      <xdr:row>0</xdr:row>
      <xdr:rowOff>157656</xdr:rowOff>
    </xdr:from>
    <xdr:to>
      <xdr:col>22</xdr:col>
      <xdr:colOff>65690</xdr:colOff>
      <xdr:row>4</xdr:row>
      <xdr:rowOff>157656</xdr:rowOff>
    </xdr:to>
    <xdr:sp macro="" textlink="">
      <xdr:nvSpPr>
        <xdr:cNvPr id="5" name="TextBox 4">
          <a:extLst>
            <a:ext uri="{FF2B5EF4-FFF2-40B4-BE49-F238E27FC236}">
              <a16:creationId xmlns:a16="http://schemas.microsoft.com/office/drawing/2014/main" id="{58C483F8-DEBC-470E-A6C6-EE9C21E8F4AD}"/>
            </a:ext>
          </a:extLst>
        </xdr:cNvPr>
        <xdr:cNvSpPr txBox="1"/>
      </xdr:nvSpPr>
      <xdr:spPr>
        <a:xfrm>
          <a:off x="4700752" y="157656"/>
          <a:ext cx="8776138" cy="731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6000">
              <a:solidFill>
                <a:schemeClr val="bg1"/>
              </a:solidFill>
            </a:rPr>
            <a:t>  WEATHER DATA</a:t>
          </a:r>
          <a:r>
            <a:rPr lang="en-IN" sz="6000" baseline="0">
              <a:solidFill>
                <a:schemeClr val="bg1"/>
              </a:solidFill>
            </a:rPr>
            <a:t> ANALYSIS</a:t>
          </a:r>
          <a:endParaRPr lang="en-IN" sz="6000">
            <a:solidFill>
              <a:schemeClr val="bg1"/>
            </a:solidFill>
          </a:endParaRPr>
        </a:p>
      </xdr:txBody>
    </xdr:sp>
    <xdr:clientData/>
  </xdr:twoCellAnchor>
  <xdr:twoCellAnchor>
    <xdr:from>
      <xdr:col>4</xdr:col>
      <xdr:colOff>604344</xdr:colOff>
      <xdr:row>5</xdr:row>
      <xdr:rowOff>157656</xdr:rowOff>
    </xdr:from>
    <xdr:to>
      <xdr:col>9</xdr:col>
      <xdr:colOff>525518</xdr:colOff>
      <xdr:row>11</xdr:row>
      <xdr:rowOff>78829</xdr:rowOff>
    </xdr:to>
    <xdr:sp macro="" textlink="">
      <xdr:nvSpPr>
        <xdr:cNvPr id="6" name="Rectangle: Rounded Corners 5">
          <a:extLst>
            <a:ext uri="{FF2B5EF4-FFF2-40B4-BE49-F238E27FC236}">
              <a16:creationId xmlns:a16="http://schemas.microsoft.com/office/drawing/2014/main" id="{A0CC9EC2-904F-4C45-A1B6-3358B1874C4D}"/>
            </a:ext>
          </a:extLst>
        </xdr:cNvPr>
        <xdr:cNvSpPr/>
      </xdr:nvSpPr>
      <xdr:spPr>
        <a:xfrm>
          <a:off x="3042744" y="1072056"/>
          <a:ext cx="2969174" cy="1018453"/>
        </a:xfrm>
        <a:prstGeom prst="roundRect">
          <a:avLst/>
        </a:prstGeom>
        <a:solidFill>
          <a:srgbClr val="FF7DB2"/>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xdr:colOff>
      <xdr:row>5</xdr:row>
      <xdr:rowOff>144518</xdr:rowOff>
    </xdr:from>
    <xdr:to>
      <xdr:col>14</xdr:col>
      <xdr:colOff>486104</xdr:colOff>
      <xdr:row>11</xdr:row>
      <xdr:rowOff>65691</xdr:rowOff>
    </xdr:to>
    <xdr:sp macro="" textlink="">
      <xdr:nvSpPr>
        <xdr:cNvPr id="7" name="Rectangle: Rounded Corners 6">
          <a:extLst>
            <a:ext uri="{FF2B5EF4-FFF2-40B4-BE49-F238E27FC236}">
              <a16:creationId xmlns:a16="http://schemas.microsoft.com/office/drawing/2014/main" id="{FCFC66DA-F0AC-49A9-B1EF-7A784EC3663D}"/>
            </a:ext>
          </a:extLst>
        </xdr:cNvPr>
        <xdr:cNvSpPr/>
      </xdr:nvSpPr>
      <xdr:spPr>
        <a:xfrm>
          <a:off x="6096003" y="1058918"/>
          <a:ext cx="2924501" cy="1018453"/>
        </a:xfrm>
        <a:prstGeom prst="roundRect">
          <a:avLst/>
        </a:prstGeom>
        <a:solidFill>
          <a:srgbClr val="C2F4FE"/>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CCFF66"/>
            </a:solidFill>
          </a:endParaRPr>
        </a:p>
      </xdr:txBody>
    </xdr:sp>
    <xdr:clientData/>
  </xdr:twoCellAnchor>
  <xdr:twoCellAnchor>
    <xdr:from>
      <xdr:col>14</xdr:col>
      <xdr:colOff>551796</xdr:colOff>
      <xdr:row>5</xdr:row>
      <xdr:rowOff>144518</xdr:rowOff>
    </xdr:from>
    <xdr:to>
      <xdr:col>19</xdr:col>
      <xdr:colOff>472966</xdr:colOff>
      <xdr:row>11</xdr:row>
      <xdr:rowOff>65691</xdr:rowOff>
    </xdr:to>
    <xdr:sp macro="" textlink="">
      <xdr:nvSpPr>
        <xdr:cNvPr id="8" name="Rectangle: Rounded Corners 7">
          <a:extLst>
            <a:ext uri="{FF2B5EF4-FFF2-40B4-BE49-F238E27FC236}">
              <a16:creationId xmlns:a16="http://schemas.microsoft.com/office/drawing/2014/main" id="{C38B43A8-70BA-4F24-8F88-B791CFE15DD5}"/>
            </a:ext>
          </a:extLst>
        </xdr:cNvPr>
        <xdr:cNvSpPr/>
      </xdr:nvSpPr>
      <xdr:spPr>
        <a:xfrm>
          <a:off x="9086196" y="1058918"/>
          <a:ext cx="2969170" cy="1018453"/>
        </a:xfrm>
        <a:prstGeom prst="roundRect">
          <a:avLst/>
        </a:prstGeom>
        <a:solidFill>
          <a:srgbClr val="E4FFAF"/>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FFFF99"/>
            </a:solidFill>
          </a:endParaRPr>
        </a:p>
      </xdr:txBody>
    </xdr:sp>
    <xdr:clientData/>
  </xdr:twoCellAnchor>
  <xdr:twoCellAnchor>
    <xdr:from>
      <xdr:col>19</xdr:col>
      <xdr:colOff>538656</xdr:colOff>
      <xdr:row>5</xdr:row>
      <xdr:rowOff>157656</xdr:rowOff>
    </xdr:from>
    <xdr:to>
      <xdr:col>24</xdr:col>
      <xdr:colOff>433552</xdr:colOff>
      <xdr:row>11</xdr:row>
      <xdr:rowOff>78829</xdr:rowOff>
    </xdr:to>
    <xdr:sp macro="" textlink="">
      <xdr:nvSpPr>
        <xdr:cNvPr id="9" name="Rectangle: Rounded Corners 8">
          <a:extLst>
            <a:ext uri="{FF2B5EF4-FFF2-40B4-BE49-F238E27FC236}">
              <a16:creationId xmlns:a16="http://schemas.microsoft.com/office/drawing/2014/main" id="{AF19E5ED-CCFF-4D20-AF9C-E6749836DC2F}"/>
            </a:ext>
          </a:extLst>
        </xdr:cNvPr>
        <xdr:cNvSpPr/>
      </xdr:nvSpPr>
      <xdr:spPr>
        <a:xfrm>
          <a:off x="12121056" y="1072056"/>
          <a:ext cx="2942896" cy="1018453"/>
        </a:xfrm>
        <a:prstGeom prst="roundRect">
          <a:avLst/>
        </a:prstGeom>
        <a:solidFill>
          <a:srgbClr val="FFFFCC"/>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C2F4FE"/>
            </a:solidFill>
          </a:endParaRPr>
        </a:p>
      </xdr:txBody>
    </xdr:sp>
    <xdr:clientData/>
  </xdr:twoCellAnchor>
  <xdr:twoCellAnchor>
    <xdr:from>
      <xdr:col>19</xdr:col>
      <xdr:colOff>324506</xdr:colOff>
      <xdr:row>20</xdr:row>
      <xdr:rowOff>101162</xdr:rowOff>
    </xdr:from>
    <xdr:to>
      <xdr:col>21</xdr:col>
      <xdr:colOff>30217</xdr:colOff>
      <xdr:row>25</xdr:row>
      <xdr:rowOff>95907</xdr:rowOff>
    </xdr:to>
    <xdr:sp macro="" textlink="">
      <xdr:nvSpPr>
        <xdr:cNvPr id="10" name="TextBox 9">
          <a:extLst>
            <a:ext uri="{FF2B5EF4-FFF2-40B4-BE49-F238E27FC236}">
              <a16:creationId xmlns:a16="http://schemas.microsoft.com/office/drawing/2014/main" id="{9A9F5B75-7E16-4031-89B4-F12F395028C2}"/>
            </a:ext>
          </a:extLst>
        </xdr:cNvPr>
        <xdr:cNvSpPr txBox="1"/>
      </xdr:nvSpPr>
      <xdr:spPr>
        <a:xfrm>
          <a:off x="11906906" y="3758762"/>
          <a:ext cx="924911" cy="9091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19</xdr:col>
      <xdr:colOff>324506</xdr:colOff>
      <xdr:row>20</xdr:row>
      <xdr:rowOff>101162</xdr:rowOff>
    </xdr:from>
    <xdr:to>
      <xdr:col>21</xdr:col>
      <xdr:colOff>30217</xdr:colOff>
      <xdr:row>25</xdr:row>
      <xdr:rowOff>95907</xdr:rowOff>
    </xdr:to>
    <xdr:sp macro="" textlink="">
      <xdr:nvSpPr>
        <xdr:cNvPr id="11" name="TextBox 10">
          <a:extLst>
            <a:ext uri="{FF2B5EF4-FFF2-40B4-BE49-F238E27FC236}">
              <a16:creationId xmlns:a16="http://schemas.microsoft.com/office/drawing/2014/main" id="{47EE6CF4-1D9D-4CC4-802D-DBC9F6A9C7DB}"/>
            </a:ext>
          </a:extLst>
        </xdr:cNvPr>
        <xdr:cNvSpPr txBox="1"/>
      </xdr:nvSpPr>
      <xdr:spPr>
        <a:xfrm>
          <a:off x="11906906" y="3758762"/>
          <a:ext cx="924911" cy="9091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ln>
              <a:noFill/>
            </a:ln>
            <a:noFill/>
          </a:endParaRPr>
        </a:p>
      </xdr:txBody>
    </xdr:sp>
    <xdr:clientData/>
  </xdr:twoCellAnchor>
  <xdr:oneCellAnchor>
    <xdr:from>
      <xdr:col>31</xdr:col>
      <xdr:colOff>144517</xdr:colOff>
      <xdr:row>25</xdr:row>
      <xdr:rowOff>39414</xdr:rowOff>
    </xdr:from>
    <xdr:ext cx="184731" cy="264560"/>
    <xdr:sp macro="" textlink="">
      <xdr:nvSpPr>
        <xdr:cNvPr id="12" name="TextBox 11">
          <a:extLst>
            <a:ext uri="{FF2B5EF4-FFF2-40B4-BE49-F238E27FC236}">
              <a16:creationId xmlns:a16="http://schemas.microsoft.com/office/drawing/2014/main" id="{524665F3-0B99-4FA6-BE6F-D87F0ADC0D19}"/>
            </a:ext>
          </a:extLst>
        </xdr:cNvPr>
        <xdr:cNvSpPr txBox="1"/>
      </xdr:nvSpPr>
      <xdr:spPr>
        <a:xfrm>
          <a:off x="19042117" y="461141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19</xdr:col>
      <xdr:colOff>324506</xdr:colOff>
      <xdr:row>20</xdr:row>
      <xdr:rowOff>101162</xdr:rowOff>
    </xdr:from>
    <xdr:to>
      <xdr:col>21</xdr:col>
      <xdr:colOff>30217</xdr:colOff>
      <xdr:row>25</xdr:row>
      <xdr:rowOff>95907</xdr:rowOff>
    </xdr:to>
    <xdr:sp macro="" textlink="">
      <xdr:nvSpPr>
        <xdr:cNvPr id="13" name="TextBox 12">
          <a:extLst>
            <a:ext uri="{FF2B5EF4-FFF2-40B4-BE49-F238E27FC236}">
              <a16:creationId xmlns:a16="http://schemas.microsoft.com/office/drawing/2014/main" id="{CBCC835B-E8C1-4657-969D-2E5D07004CFA}"/>
            </a:ext>
          </a:extLst>
        </xdr:cNvPr>
        <xdr:cNvSpPr txBox="1"/>
      </xdr:nvSpPr>
      <xdr:spPr>
        <a:xfrm>
          <a:off x="11906906" y="3758762"/>
          <a:ext cx="924911" cy="9091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oneCellAnchor>
    <xdr:from>
      <xdr:col>28</xdr:col>
      <xdr:colOff>236483</xdr:colOff>
      <xdr:row>34</xdr:row>
      <xdr:rowOff>0</xdr:rowOff>
    </xdr:from>
    <xdr:ext cx="184731" cy="264560"/>
    <xdr:sp macro="" textlink="">
      <xdr:nvSpPr>
        <xdr:cNvPr id="14" name="TextBox 13">
          <a:extLst>
            <a:ext uri="{FF2B5EF4-FFF2-40B4-BE49-F238E27FC236}">
              <a16:creationId xmlns:a16="http://schemas.microsoft.com/office/drawing/2014/main" id="{CBDBEE87-00F8-4029-9BEE-0217B4F3DD07}"/>
            </a:ext>
          </a:extLst>
        </xdr:cNvPr>
        <xdr:cNvSpPr txBox="1"/>
      </xdr:nvSpPr>
      <xdr:spPr>
        <a:xfrm>
          <a:off x="17305283" y="62179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5</xdr:col>
      <xdr:colOff>275897</xdr:colOff>
      <xdr:row>5</xdr:row>
      <xdr:rowOff>157655</xdr:rowOff>
    </xdr:from>
    <xdr:to>
      <xdr:col>9</xdr:col>
      <xdr:colOff>486104</xdr:colOff>
      <xdr:row>8</xdr:row>
      <xdr:rowOff>157655</xdr:rowOff>
    </xdr:to>
    <xdr:sp macro="" textlink="">
      <xdr:nvSpPr>
        <xdr:cNvPr id="15" name="TextBox 14">
          <a:extLst>
            <a:ext uri="{FF2B5EF4-FFF2-40B4-BE49-F238E27FC236}">
              <a16:creationId xmlns:a16="http://schemas.microsoft.com/office/drawing/2014/main" id="{D1F0BB6D-E8ED-4E7C-872E-F821C3C18547}"/>
            </a:ext>
          </a:extLst>
        </xdr:cNvPr>
        <xdr:cNvSpPr txBox="1"/>
      </xdr:nvSpPr>
      <xdr:spPr>
        <a:xfrm>
          <a:off x="3323897" y="1072055"/>
          <a:ext cx="2648607"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t>Avg Temperature</a:t>
          </a:r>
        </a:p>
      </xdr:txBody>
    </xdr:sp>
    <xdr:clientData/>
  </xdr:twoCellAnchor>
  <xdr:twoCellAnchor>
    <xdr:from>
      <xdr:col>19</xdr:col>
      <xdr:colOff>324506</xdr:colOff>
      <xdr:row>20</xdr:row>
      <xdr:rowOff>101162</xdr:rowOff>
    </xdr:from>
    <xdr:to>
      <xdr:col>21</xdr:col>
      <xdr:colOff>30217</xdr:colOff>
      <xdr:row>25</xdr:row>
      <xdr:rowOff>95907</xdr:rowOff>
    </xdr:to>
    <xdr:sp macro="" textlink="">
      <xdr:nvSpPr>
        <xdr:cNvPr id="16" name="TextBox 15">
          <a:extLst>
            <a:ext uri="{FF2B5EF4-FFF2-40B4-BE49-F238E27FC236}">
              <a16:creationId xmlns:a16="http://schemas.microsoft.com/office/drawing/2014/main" id="{774B0AD7-53CE-4595-93A8-897CD2CEBE45}"/>
            </a:ext>
          </a:extLst>
        </xdr:cNvPr>
        <xdr:cNvSpPr txBox="1"/>
      </xdr:nvSpPr>
      <xdr:spPr>
        <a:xfrm>
          <a:off x="11906906" y="3758762"/>
          <a:ext cx="924911" cy="9091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oneCellAnchor>
    <xdr:from>
      <xdr:col>27</xdr:col>
      <xdr:colOff>236483</xdr:colOff>
      <xdr:row>31</xdr:row>
      <xdr:rowOff>52552</xdr:rowOff>
    </xdr:from>
    <xdr:ext cx="184731" cy="264560"/>
    <xdr:sp macro="" textlink="">
      <xdr:nvSpPr>
        <xdr:cNvPr id="17" name="TextBox 16">
          <a:extLst>
            <a:ext uri="{FF2B5EF4-FFF2-40B4-BE49-F238E27FC236}">
              <a16:creationId xmlns:a16="http://schemas.microsoft.com/office/drawing/2014/main" id="{B57E23AD-F20E-42B2-9AE7-F134B4E34E82}"/>
            </a:ext>
          </a:extLst>
        </xdr:cNvPr>
        <xdr:cNvSpPr txBox="1"/>
      </xdr:nvSpPr>
      <xdr:spPr>
        <a:xfrm>
          <a:off x="16695683" y="572183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10</xdr:col>
      <xdr:colOff>197071</xdr:colOff>
      <xdr:row>5</xdr:row>
      <xdr:rowOff>157655</xdr:rowOff>
    </xdr:from>
    <xdr:to>
      <xdr:col>14</xdr:col>
      <xdr:colOff>302173</xdr:colOff>
      <xdr:row>8</xdr:row>
      <xdr:rowOff>105104</xdr:rowOff>
    </xdr:to>
    <xdr:sp macro="" textlink="">
      <xdr:nvSpPr>
        <xdr:cNvPr id="18" name="TextBox 17">
          <a:extLst>
            <a:ext uri="{FF2B5EF4-FFF2-40B4-BE49-F238E27FC236}">
              <a16:creationId xmlns:a16="http://schemas.microsoft.com/office/drawing/2014/main" id="{CCDC03F4-BBA8-4DB1-9291-04CBF9510E8A}"/>
            </a:ext>
          </a:extLst>
        </xdr:cNvPr>
        <xdr:cNvSpPr txBox="1"/>
      </xdr:nvSpPr>
      <xdr:spPr>
        <a:xfrm>
          <a:off x="6293071" y="1072055"/>
          <a:ext cx="2543502" cy="4960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t>Avg Humidity</a:t>
          </a:r>
        </a:p>
      </xdr:txBody>
    </xdr:sp>
    <xdr:clientData/>
  </xdr:twoCellAnchor>
  <xdr:twoCellAnchor>
    <xdr:from>
      <xdr:col>19</xdr:col>
      <xdr:colOff>324506</xdr:colOff>
      <xdr:row>20</xdr:row>
      <xdr:rowOff>101162</xdr:rowOff>
    </xdr:from>
    <xdr:to>
      <xdr:col>21</xdr:col>
      <xdr:colOff>30217</xdr:colOff>
      <xdr:row>25</xdr:row>
      <xdr:rowOff>95907</xdr:rowOff>
    </xdr:to>
    <xdr:sp macro="" textlink="">
      <xdr:nvSpPr>
        <xdr:cNvPr id="19" name="TextBox 18">
          <a:extLst>
            <a:ext uri="{FF2B5EF4-FFF2-40B4-BE49-F238E27FC236}">
              <a16:creationId xmlns:a16="http://schemas.microsoft.com/office/drawing/2014/main" id="{33FE5438-0A8E-4104-8264-028CC36D653A}"/>
            </a:ext>
          </a:extLst>
        </xdr:cNvPr>
        <xdr:cNvSpPr txBox="1"/>
      </xdr:nvSpPr>
      <xdr:spPr>
        <a:xfrm>
          <a:off x="11906906" y="3758762"/>
          <a:ext cx="924911" cy="9091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oneCellAnchor>
    <xdr:from>
      <xdr:col>28</xdr:col>
      <xdr:colOff>249621</xdr:colOff>
      <xdr:row>24</xdr:row>
      <xdr:rowOff>65689</xdr:rowOff>
    </xdr:from>
    <xdr:ext cx="184731" cy="264560"/>
    <xdr:sp macro="" textlink="">
      <xdr:nvSpPr>
        <xdr:cNvPr id="20" name="TextBox 19">
          <a:extLst>
            <a:ext uri="{FF2B5EF4-FFF2-40B4-BE49-F238E27FC236}">
              <a16:creationId xmlns:a16="http://schemas.microsoft.com/office/drawing/2014/main" id="{2A695BC2-C8AC-432A-9814-7081AB0A0C48}"/>
            </a:ext>
          </a:extLst>
        </xdr:cNvPr>
        <xdr:cNvSpPr txBox="1"/>
      </xdr:nvSpPr>
      <xdr:spPr>
        <a:xfrm>
          <a:off x="17318421" y="445480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15</xdr:col>
      <xdr:colOff>65690</xdr:colOff>
      <xdr:row>5</xdr:row>
      <xdr:rowOff>91966</xdr:rowOff>
    </xdr:from>
    <xdr:to>
      <xdr:col>19</xdr:col>
      <xdr:colOff>420414</xdr:colOff>
      <xdr:row>9</xdr:row>
      <xdr:rowOff>1</xdr:rowOff>
    </xdr:to>
    <xdr:sp macro="" textlink="">
      <xdr:nvSpPr>
        <xdr:cNvPr id="21" name="TextBox 20">
          <a:extLst>
            <a:ext uri="{FF2B5EF4-FFF2-40B4-BE49-F238E27FC236}">
              <a16:creationId xmlns:a16="http://schemas.microsoft.com/office/drawing/2014/main" id="{7C2B46E0-5E1A-4E64-B2A1-A7BD90A8F0CB}"/>
            </a:ext>
          </a:extLst>
        </xdr:cNvPr>
        <xdr:cNvSpPr txBox="1"/>
      </xdr:nvSpPr>
      <xdr:spPr>
        <a:xfrm>
          <a:off x="9209690" y="1006366"/>
          <a:ext cx="2793124" cy="6395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t>Total Rainfall</a:t>
          </a:r>
        </a:p>
      </xdr:txBody>
    </xdr:sp>
    <xdr:clientData/>
  </xdr:twoCellAnchor>
  <xdr:twoCellAnchor>
    <xdr:from>
      <xdr:col>20</xdr:col>
      <xdr:colOff>183930</xdr:colOff>
      <xdr:row>6</xdr:row>
      <xdr:rowOff>13138</xdr:rowOff>
    </xdr:from>
    <xdr:to>
      <xdr:col>24</xdr:col>
      <xdr:colOff>236482</xdr:colOff>
      <xdr:row>8</xdr:row>
      <xdr:rowOff>91966</xdr:rowOff>
    </xdr:to>
    <xdr:sp macro="" textlink="">
      <xdr:nvSpPr>
        <xdr:cNvPr id="22" name="TextBox 21">
          <a:extLst>
            <a:ext uri="{FF2B5EF4-FFF2-40B4-BE49-F238E27FC236}">
              <a16:creationId xmlns:a16="http://schemas.microsoft.com/office/drawing/2014/main" id="{3138321A-5247-4FFE-8A45-0D1CD2840345}"/>
            </a:ext>
          </a:extLst>
        </xdr:cNvPr>
        <xdr:cNvSpPr txBox="1"/>
      </xdr:nvSpPr>
      <xdr:spPr>
        <a:xfrm>
          <a:off x="12375930" y="1110418"/>
          <a:ext cx="2490952" cy="444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t>Avg Wind Speed</a:t>
          </a:r>
        </a:p>
      </xdr:txBody>
    </xdr:sp>
    <xdr:clientData/>
  </xdr:twoCellAnchor>
  <xdr:twoCellAnchor>
    <xdr:from>
      <xdr:col>19</xdr:col>
      <xdr:colOff>324506</xdr:colOff>
      <xdr:row>20</xdr:row>
      <xdr:rowOff>101162</xdr:rowOff>
    </xdr:from>
    <xdr:to>
      <xdr:col>21</xdr:col>
      <xdr:colOff>30217</xdr:colOff>
      <xdr:row>25</xdr:row>
      <xdr:rowOff>95907</xdr:rowOff>
    </xdr:to>
    <xdr:sp macro="" textlink="">
      <xdr:nvSpPr>
        <xdr:cNvPr id="23" name="TextBox 22">
          <a:extLst>
            <a:ext uri="{FF2B5EF4-FFF2-40B4-BE49-F238E27FC236}">
              <a16:creationId xmlns:a16="http://schemas.microsoft.com/office/drawing/2014/main" id="{7DF3492C-1BEF-45A0-9403-7EEE2EC1EE39}"/>
            </a:ext>
          </a:extLst>
        </xdr:cNvPr>
        <xdr:cNvSpPr txBox="1"/>
      </xdr:nvSpPr>
      <xdr:spPr>
        <a:xfrm>
          <a:off x="11906906" y="3758762"/>
          <a:ext cx="924911" cy="9091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oneCellAnchor>
    <xdr:from>
      <xdr:col>29</xdr:col>
      <xdr:colOff>262759</xdr:colOff>
      <xdr:row>33</xdr:row>
      <xdr:rowOff>91966</xdr:rowOff>
    </xdr:from>
    <xdr:ext cx="184731" cy="264560"/>
    <xdr:sp macro="" textlink="">
      <xdr:nvSpPr>
        <xdr:cNvPr id="24" name="TextBox 23">
          <a:extLst>
            <a:ext uri="{FF2B5EF4-FFF2-40B4-BE49-F238E27FC236}">
              <a16:creationId xmlns:a16="http://schemas.microsoft.com/office/drawing/2014/main" id="{C74545BA-57A0-4E3E-AD45-095810E3F7DF}"/>
            </a:ext>
          </a:extLst>
        </xdr:cNvPr>
        <xdr:cNvSpPr txBox="1"/>
      </xdr:nvSpPr>
      <xdr:spPr>
        <a:xfrm>
          <a:off x="17941159" y="612700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editAs="oneCell">
    <xdr:from>
      <xdr:col>5</xdr:col>
      <xdr:colOff>26274</xdr:colOff>
      <xdr:row>11</xdr:row>
      <xdr:rowOff>157655</xdr:rowOff>
    </xdr:from>
    <xdr:to>
      <xdr:col>24</xdr:col>
      <xdr:colOff>426720</xdr:colOff>
      <xdr:row>15</xdr:row>
      <xdr:rowOff>170793</xdr:rowOff>
    </xdr:to>
    <mc:AlternateContent xmlns:mc="http://schemas.openxmlformats.org/markup-compatibility/2006" xmlns:a14="http://schemas.microsoft.com/office/drawing/2010/main">
      <mc:Choice Requires="a14">
        <xdr:graphicFrame macro="">
          <xdr:nvGraphicFramePr>
            <xdr:cNvPr id="29" name="Month 4">
              <a:extLst>
                <a:ext uri="{FF2B5EF4-FFF2-40B4-BE49-F238E27FC236}">
                  <a16:creationId xmlns:a16="http://schemas.microsoft.com/office/drawing/2014/main" id="{548A1ADC-BB67-4CBF-A9FB-B867FA5880FB}"/>
                </a:ext>
              </a:extLst>
            </xdr:cNvPr>
            <xdr:cNvGraphicFramePr/>
          </xdr:nvGraphicFramePr>
          <xdr:xfrm>
            <a:off x="0" y="0"/>
            <a:ext cx="0" cy="0"/>
          </xdr:xfrm>
          <a:graphic>
            <a:graphicData uri="http://schemas.microsoft.com/office/drawing/2010/slicer">
              <sle:slicer xmlns:sle="http://schemas.microsoft.com/office/drawing/2010/slicer" name="Month 4"/>
            </a:graphicData>
          </a:graphic>
        </xdr:graphicFrame>
      </mc:Choice>
      <mc:Fallback xmlns="">
        <xdr:sp macro="" textlink="">
          <xdr:nvSpPr>
            <xdr:cNvPr id="0" name=""/>
            <xdr:cNvSpPr>
              <a:spLocks noTextEdit="1"/>
            </xdr:cNvSpPr>
          </xdr:nvSpPr>
          <xdr:spPr>
            <a:xfrm>
              <a:off x="3074274" y="2169335"/>
              <a:ext cx="11982846" cy="7446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131381</xdr:colOff>
      <xdr:row>23</xdr:row>
      <xdr:rowOff>65689</xdr:rowOff>
    </xdr:from>
    <xdr:to>
      <xdr:col>11</xdr:col>
      <xdr:colOff>275897</xdr:colOff>
      <xdr:row>26</xdr:row>
      <xdr:rowOff>118243</xdr:rowOff>
    </xdr:to>
    <xdr:sp macro="" textlink="">
      <xdr:nvSpPr>
        <xdr:cNvPr id="31" name="TextBox 30">
          <a:extLst>
            <a:ext uri="{FF2B5EF4-FFF2-40B4-BE49-F238E27FC236}">
              <a16:creationId xmlns:a16="http://schemas.microsoft.com/office/drawing/2014/main" id="{03569F59-784C-4106-837F-E103177986D3}"/>
            </a:ext>
          </a:extLst>
        </xdr:cNvPr>
        <xdr:cNvSpPr txBox="1"/>
      </xdr:nvSpPr>
      <xdr:spPr>
        <a:xfrm>
          <a:off x="3179381" y="4271929"/>
          <a:ext cx="3802116" cy="6011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2000" b="1" i="1">
            <a:solidFill>
              <a:sysClr val="windowText" lastClr="000000"/>
            </a:solidFill>
          </a:endParaRPr>
        </a:p>
      </xdr:txBody>
    </xdr:sp>
    <xdr:clientData/>
  </xdr:twoCellAnchor>
  <xdr:twoCellAnchor editAs="oneCell">
    <xdr:from>
      <xdr:col>5</xdr:col>
      <xdr:colOff>39415</xdr:colOff>
      <xdr:row>16</xdr:row>
      <xdr:rowOff>52551</xdr:rowOff>
    </xdr:from>
    <xdr:to>
      <xdr:col>19</xdr:col>
      <xdr:colOff>249621</xdr:colOff>
      <xdr:row>22</xdr:row>
      <xdr:rowOff>157655</xdr:rowOff>
    </xdr:to>
    <mc:AlternateContent xmlns:mc="http://schemas.openxmlformats.org/markup-compatibility/2006" xmlns:a14="http://schemas.microsoft.com/office/drawing/2010/main">
      <mc:Choice Requires="a14">
        <xdr:graphicFrame macro="">
          <xdr:nvGraphicFramePr>
            <xdr:cNvPr id="32" name="State 2">
              <a:extLst>
                <a:ext uri="{FF2B5EF4-FFF2-40B4-BE49-F238E27FC236}">
                  <a16:creationId xmlns:a16="http://schemas.microsoft.com/office/drawing/2014/main" id="{08893482-848E-43D5-BA7F-59BEDF872F84}"/>
                </a:ext>
              </a:extLst>
            </xdr:cNvPr>
            <xdr:cNvGraphicFramePr/>
          </xdr:nvGraphicFramePr>
          <xdr:xfrm>
            <a:off x="0" y="0"/>
            <a:ext cx="0" cy="0"/>
          </xdr:xfrm>
          <a:graphic>
            <a:graphicData uri="http://schemas.microsoft.com/office/drawing/2010/slicer">
              <sle:slicer xmlns:sle="http://schemas.microsoft.com/office/drawing/2010/slicer" name="State 2"/>
            </a:graphicData>
          </a:graphic>
        </xdr:graphicFrame>
      </mc:Choice>
      <mc:Fallback xmlns="">
        <xdr:sp macro="" textlink="">
          <xdr:nvSpPr>
            <xdr:cNvPr id="0" name=""/>
            <xdr:cNvSpPr>
              <a:spLocks noTextEdit="1"/>
            </xdr:cNvSpPr>
          </xdr:nvSpPr>
          <xdr:spPr>
            <a:xfrm>
              <a:off x="3087415" y="2978631"/>
              <a:ext cx="8744606" cy="12023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486105</xdr:colOff>
      <xdr:row>23</xdr:row>
      <xdr:rowOff>52553</xdr:rowOff>
    </xdr:from>
    <xdr:to>
      <xdr:col>18</xdr:col>
      <xdr:colOff>65691</xdr:colOff>
      <xdr:row>26</xdr:row>
      <xdr:rowOff>170794</xdr:rowOff>
    </xdr:to>
    <xdr:sp macro="" textlink="">
      <xdr:nvSpPr>
        <xdr:cNvPr id="33" name="Rectangle 32">
          <a:extLst>
            <a:ext uri="{FF2B5EF4-FFF2-40B4-BE49-F238E27FC236}">
              <a16:creationId xmlns:a16="http://schemas.microsoft.com/office/drawing/2014/main" id="{2FAD2229-7B11-4E86-9DA5-68DAE5A13480}"/>
            </a:ext>
          </a:extLst>
        </xdr:cNvPr>
        <xdr:cNvSpPr/>
      </xdr:nvSpPr>
      <xdr:spPr>
        <a:xfrm>
          <a:off x="7191705" y="4258793"/>
          <a:ext cx="3846786" cy="666881"/>
        </a:xfrm>
        <a:prstGeom prst="rect">
          <a:avLst/>
        </a:prstGeom>
        <a:noFill/>
        <a:ln w="952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457201</xdr:colOff>
      <xdr:row>26</xdr:row>
      <xdr:rowOff>118241</xdr:rowOff>
    </xdr:from>
    <xdr:to>
      <xdr:col>16</xdr:col>
      <xdr:colOff>472440</xdr:colOff>
      <xdr:row>31</xdr:row>
      <xdr:rowOff>167640</xdr:rowOff>
    </xdr:to>
    <xdr:sp macro="" textlink="">
      <xdr:nvSpPr>
        <xdr:cNvPr id="34" name="TextBox 33">
          <a:extLst>
            <a:ext uri="{FF2B5EF4-FFF2-40B4-BE49-F238E27FC236}">
              <a16:creationId xmlns:a16="http://schemas.microsoft.com/office/drawing/2014/main" id="{42105156-DB77-4AF8-8DC8-23B4C6D49794}"/>
            </a:ext>
          </a:extLst>
        </xdr:cNvPr>
        <xdr:cNvSpPr txBox="1"/>
      </xdr:nvSpPr>
      <xdr:spPr>
        <a:xfrm flipV="1">
          <a:off x="7162801" y="4873121"/>
          <a:ext cx="3063239" cy="9637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2000" b="1" i="1"/>
        </a:p>
      </xdr:txBody>
    </xdr:sp>
    <xdr:clientData/>
  </xdr:twoCellAnchor>
  <xdr:twoCellAnchor>
    <xdr:from>
      <xdr:col>18</xdr:col>
      <xdr:colOff>157655</xdr:colOff>
      <xdr:row>23</xdr:row>
      <xdr:rowOff>65689</xdr:rowOff>
    </xdr:from>
    <xdr:to>
      <xdr:col>24</xdr:col>
      <xdr:colOff>459827</xdr:colOff>
      <xdr:row>27</xdr:row>
      <xdr:rowOff>13138</xdr:rowOff>
    </xdr:to>
    <xdr:sp macro="" textlink="">
      <xdr:nvSpPr>
        <xdr:cNvPr id="40" name="Rectangle 39">
          <a:extLst>
            <a:ext uri="{FF2B5EF4-FFF2-40B4-BE49-F238E27FC236}">
              <a16:creationId xmlns:a16="http://schemas.microsoft.com/office/drawing/2014/main" id="{33D73008-BB06-4AED-A7E4-EDBFC5EE3066}"/>
            </a:ext>
          </a:extLst>
        </xdr:cNvPr>
        <xdr:cNvSpPr/>
      </xdr:nvSpPr>
      <xdr:spPr>
        <a:xfrm>
          <a:off x="11130455" y="4271929"/>
          <a:ext cx="3959772" cy="67896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210207</xdr:colOff>
      <xdr:row>24</xdr:row>
      <xdr:rowOff>13138</xdr:rowOff>
    </xdr:from>
    <xdr:to>
      <xdr:col>24</xdr:col>
      <xdr:colOff>420414</xdr:colOff>
      <xdr:row>26</xdr:row>
      <xdr:rowOff>91965</xdr:rowOff>
    </xdr:to>
    <xdr:sp macro="" textlink="">
      <xdr:nvSpPr>
        <xdr:cNvPr id="41" name="TextBox 40">
          <a:extLst>
            <a:ext uri="{FF2B5EF4-FFF2-40B4-BE49-F238E27FC236}">
              <a16:creationId xmlns:a16="http://schemas.microsoft.com/office/drawing/2014/main" id="{CFF460A7-4C7E-4A02-B07D-A36D53CEC356}"/>
            </a:ext>
          </a:extLst>
        </xdr:cNvPr>
        <xdr:cNvSpPr txBox="1"/>
      </xdr:nvSpPr>
      <xdr:spPr>
        <a:xfrm>
          <a:off x="11183007" y="4402258"/>
          <a:ext cx="3867807" cy="4445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2000" b="1" i="1"/>
        </a:p>
      </xdr:txBody>
    </xdr:sp>
    <xdr:clientData/>
  </xdr:twoCellAnchor>
  <xdr:twoCellAnchor editAs="oneCell">
    <xdr:from>
      <xdr:col>19</xdr:col>
      <xdr:colOff>315312</xdr:colOff>
      <xdr:row>16</xdr:row>
      <xdr:rowOff>65685</xdr:rowOff>
    </xdr:from>
    <xdr:to>
      <xdr:col>24</xdr:col>
      <xdr:colOff>426720</xdr:colOff>
      <xdr:row>22</xdr:row>
      <xdr:rowOff>131379</xdr:rowOff>
    </xdr:to>
    <mc:AlternateContent xmlns:mc="http://schemas.openxmlformats.org/markup-compatibility/2006" xmlns:a14="http://schemas.microsoft.com/office/drawing/2010/main">
      <mc:Choice Requires="a14">
        <xdr:graphicFrame macro="">
          <xdr:nvGraphicFramePr>
            <xdr:cNvPr id="42" name="Season 2">
              <a:extLst>
                <a:ext uri="{FF2B5EF4-FFF2-40B4-BE49-F238E27FC236}">
                  <a16:creationId xmlns:a16="http://schemas.microsoft.com/office/drawing/2014/main" id="{38F2FC9F-D1ED-4AA0-8080-F7986400FC84}"/>
                </a:ext>
              </a:extLst>
            </xdr:cNvPr>
            <xdr:cNvGraphicFramePr/>
          </xdr:nvGraphicFramePr>
          <xdr:xfrm>
            <a:off x="0" y="0"/>
            <a:ext cx="0" cy="0"/>
          </xdr:xfrm>
          <a:graphic>
            <a:graphicData uri="http://schemas.microsoft.com/office/drawing/2010/slicer">
              <sle:slicer xmlns:sle="http://schemas.microsoft.com/office/drawing/2010/slicer" name="Season 2"/>
            </a:graphicData>
          </a:graphic>
        </xdr:graphicFrame>
      </mc:Choice>
      <mc:Fallback xmlns="">
        <xdr:sp macro="" textlink="">
          <xdr:nvSpPr>
            <xdr:cNvPr id="0" name=""/>
            <xdr:cNvSpPr>
              <a:spLocks noTextEdit="1"/>
            </xdr:cNvSpPr>
          </xdr:nvSpPr>
          <xdr:spPr>
            <a:xfrm>
              <a:off x="11897712" y="2991765"/>
              <a:ext cx="3159408" cy="11629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13137</xdr:colOff>
      <xdr:row>41</xdr:row>
      <xdr:rowOff>131381</xdr:rowOff>
    </xdr:from>
    <xdr:to>
      <xdr:col>11</xdr:col>
      <xdr:colOff>380999</xdr:colOff>
      <xdr:row>45</xdr:row>
      <xdr:rowOff>78829</xdr:rowOff>
    </xdr:to>
    <xdr:sp macro="" textlink="">
      <xdr:nvSpPr>
        <xdr:cNvPr id="43" name="Rectangle 42">
          <a:extLst>
            <a:ext uri="{FF2B5EF4-FFF2-40B4-BE49-F238E27FC236}">
              <a16:creationId xmlns:a16="http://schemas.microsoft.com/office/drawing/2014/main" id="{E297CA21-5FE0-4049-A78C-A942B78DFEA8}"/>
            </a:ext>
          </a:extLst>
        </xdr:cNvPr>
        <xdr:cNvSpPr/>
      </xdr:nvSpPr>
      <xdr:spPr>
        <a:xfrm>
          <a:off x="3061137" y="7629461"/>
          <a:ext cx="4025462" cy="67896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185508</xdr:colOff>
      <xdr:row>37</xdr:row>
      <xdr:rowOff>124549</xdr:rowOff>
    </xdr:from>
    <xdr:to>
      <xdr:col>14</xdr:col>
      <xdr:colOff>343163</xdr:colOff>
      <xdr:row>40</xdr:row>
      <xdr:rowOff>7358</xdr:rowOff>
    </xdr:to>
    <xdr:sp macro="" textlink="">
      <xdr:nvSpPr>
        <xdr:cNvPr id="44" name="TextBox 43">
          <a:extLst>
            <a:ext uri="{FF2B5EF4-FFF2-40B4-BE49-F238E27FC236}">
              <a16:creationId xmlns:a16="http://schemas.microsoft.com/office/drawing/2014/main" id="{33BAF73F-F61A-43EB-84C5-A481AC3AED2D}"/>
            </a:ext>
          </a:extLst>
        </xdr:cNvPr>
        <xdr:cNvSpPr txBox="1"/>
      </xdr:nvSpPr>
      <xdr:spPr>
        <a:xfrm>
          <a:off x="5062308" y="6891109"/>
          <a:ext cx="3815255" cy="4314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endParaRPr lang="en-IN" sz="1100"/>
        </a:p>
      </xdr:txBody>
    </xdr:sp>
    <xdr:clientData/>
  </xdr:twoCellAnchor>
  <xdr:twoCellAnchor>
    <xdr:from>
      <xdr:col>11</xdr:col>
      <xdr:colOff>446688</xdr:colOff>
      <xdr:row>41</xdr:row>
      <xdr:rowOff>131382</xdr:rowOff>
    </xdr:from>
    <xdr:to>
      <xdr:col>18</xdr:col>
      <xdr:colOff>144517</xdr:colOff>
      <xdr:row>45</xdr:row>
      <xdr:rowOff>78830</xdr:rowOff>
    </xdr:to>
    <xdr:sp macro="" textlink="">
      <xdr:nvSpPr>
        <xdr:cNvPr id="46" name="Rectangle 45">
          <a:extLst>
            <a:ext uri="{FF2B5EF4-FFF2-40B4-BE49-F238E27FC236}">
              <a16:creationId xmlns:a16="http://schemas.microsoft.com/office/drawing/2014/main" id="{B6BFA38A-7A1C-4AB8-8649-82016575726E}"/>
            </a:ext>
          </a:extLst>
        </xdr:cNvPr>
        <xdr:cNvSpPr/>
      </xdr:nvSpPr>
      <xdr:spPr>
        <a:xfrm>
          <a:off x="7152288" y="7629462"/>
          <a:ext cx="3965029" cy="67896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525517</xdr:colOff>
      <xdr:row>42</xdr:row>
      <xdr:rowOff>39414</xdr:rowOff>
    </xdr:from>
    <xdr:to>
      <xdr:col>18</xdr:col>
      <xdr:colOff>78827</xdr:colOff>
      <xdr:row>44</xdr:row>
      <xdr:rowOff>131380</xdr:rowOff>
    </xdr:to>
    <xdr:sp macro="" textlink="">
      <xdr:nvSpPr>
        <xdr:cNvPr id="47" name="TextBox 46">
          <a:extLst>
            <a:ext uri="{FF2B5EF4-FFF2-40B4-BE49-F238E27FC236}">
              <a16:creationId xmlns:a16="http://schemas.microsoft.com/office/drawing/2014/main" id="{B3D47105-72A2-46C8-BB09-CDCB68B33589}"/>
            </a:ext>
          </a:extLst>
        </xdr:cNvPr>
        <xdr:cNvSpPr txBox="1"/>
      </xdr:nvSpPr>
      <xdr:spPr>
        <a:xfrm>
          <a:off x="7231117" y="7720374"/>
          <a:ext cx="3820510" cy="4577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800" b="1" i="1"/>
        </a:p>
      </xdr:txBody>
    </xdr:sp>
    <xdr:clientData/>
  </xdr:twoCellAnchor>
  <xdr:twoCellAnchor>
    <xdr:from>
      <xdr:col>18</xdr:col>
      <xdr:colOff>183930</xdr:colOff>
      <xdr:row>41</xdr:row>
      <xdr:rowOff>131381</xdr:rowOff>
    </xdr:from>
    <xdr:to>
      <xdr:col>24</xdr:col>
      <xdr:colOff>486104</xdr:colOff>
      <xdr:row>45</xdr:row>
      <xdr:rowOff>78829</xdr:rowOff>
    </xdr:to>
    <xdr:sp macro="" textlink="">
      <xdr:nvSpPr>
        <xdr:cNvPr id="49" name="Rectangle 48">
          <a:extLst>
            <a:ext uri="{FF2B5EF4-FFF2-40B4-BE49-F238E27FC236}">
              <a16:creationId xmlns:a16="http://schemas.microsoft.com/office/drawing/2014/main" id="{92ED4B4D-CA32-4698-8936-7B4287ACFD93}"/>
            </a:ext>
          </a:extLst>
        </xdr:cNvPr>
        <xdr:cNvSpPr/>
      </xdr:nvSpPr>
      <xdr:spPr>
        <a:xfrm>
          <a:off x="11156730" y="7629461"/>
          <a:ext cx="3959774" cy="67896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324506</xdr:colOff>
      <xdr:row>35</xdr:row>
      <xdr:rowOff>74886</xdr:rowOff>
    </xdr:from>
    <xdr:to>
      <xdr:col>21</xdr:col>
      <xdr:colOff>30217</xdr:colOff>
      <xdr:row>40</xdr:row>
      <xdr:rowOff>69631</xdr:rowOff>
    </xdr:to>
    <xdr:sp macro="" textlink="">
      <xdr:nvSpPr>
        <xdr:cNvPr id="50" name="TextBox 49">
          <a:extLst>
            <a:ext uri="{FF2B5EF4-FFF2-40B4-BE49-F238E27FC236}">
              <a16:creationId xmlns:a16="http://schemas.microsoft.com/office/drawing/2014/main" id="{77C8FE23-6D20-4210-BEA4-09A8CD63B46D}"/>
            </a:ext>
          </a:extLst>
        </xdr:cNvPr>
        <xdr:cNvSpPr txBox="1"/>
      </xdr:nvSpPr>
      <xdr:spPr>
        <a:xfrm>
          <a:off x="11906906" y="6475686"/>
          <a:ext cx="924911" cy="9091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oneCellAnchor>
    <xdr:from>
      <xdr:col>27</xdr:col>
      <xdr:colOff>591207</xdr:colOff>
      <xdr:row>46</xdr:row>
      <xdr:rowOff>78827</xdr:rowOff>
    </xdr:from>
    <xdr:ext cx="184731" cy="264560"/>
    <xdr:sp macro="" textlink="">
      <xdr:nvSpPr>
        <xdr:cNvPr id="51" name="TextBox 50">
          <a:extLst>
            <a:ext uri="{FF2B5EF4-FFF2-40B4-BE49-F238E27FC236}">
              <a16:creationId xmlns:a16="http://schemas.microsoft.com/office/drawing/2014/main" id="{C48CCC8B-261D-4081-86CA-E0A8FAC07BC8}"/>
            </a:ext>
          </a:extLst>
        </xdr:cNvPr>
        <xdr:cNvSpPr txBox="1"/>
      </xdr:nvSpPr>
      <xdr:spPr>
        <a:xfrm>
          <a:off x="17050407" y="849130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18</xdr:col>
      <xdr:colOff>197069</xdr:colOff>
      <xdr:row>42</xdr:row>
      <xdr:rowOff>0</xdr:rowOff>
    </xdr:from>
    <xdr:to>
      <xdr:col>24</xdr:col>
      <xdr:colOff>433552</xdr:colOff>
      <xdr:row>44</xdr:row>
      <xdr:rowOff>144517</xdr:rowOff>
    </xdr:to>
    <xdr:sp macro="" textlink="">
      <xdr:nvSpPr>
        <xdr:cNvPr id="52" name="TextBox 51">
          <a:extLst>
            <a:ext uri="{FF2B5EF4-FFF2-40B4-BE49-F238E27FC236}">
              <a16:creationId xmlns:a16="http://schemas.microsoft.com/office/drawing/2014/main" id="{2241D975-7E95-4748-9411-7C572B7D9B9D}"/>
            </a:ext>
          </a:extLst>
        </xdr:cNvPr>
        <xdr:cNvSpPr txBox="1"/>
      </xdr:nvSpPr>
      <xdr:spPr>
        <a:xfrm>
          <a:off x="11169869" y="7680960"/>
          <a:ext cx="3894083" cy="5102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2000" b="1" i="1"/>
        </a:p>
      </xdr:txBody>
    </xdr:sp>
    <xdr:clientData/>
  </xdr:twoCellAnchor>
  <xdr:twoCellAnchor>
    <xdr:from>
      <xdr:col>5</xdr:col>
      <xdr:colOff>289036</xdr:colOff>
      <xdr:row>8</xdr:row>
      <xdr:rowOff>13138</xdr:rowOff>
    </xdr:from>
    <xdr:to>
      <xdr:col>9</xdr:col>
      <xdr:colOff>381001</xdr:colOff>
      <xdr:row>11</xdr:row>
      <xdr:rowOff>0</xdr:rowOff>
    </xdr:to>
    <xdr:sp macro="" textlink="">
      <xdr:nvSpPr>
        <xdr:cNvPr id="53" name="TextBox 52">
          <a:extLst>
            <a:ext uri="{FF2B5EF4-FFF2-40B4-BE49-F238E27FC236}">
              <a16:creationId xmlns:a16="http://schemas.microsoft.com/office/drawing/2014/main" id="{51AD0BFB-A68A-4E49-B369-35B71C92ACAB}"/>
            </a:ext>
          </a:extLst>
        </xdr:cNvPr>
        <xdr:cNvSpPr txBox="1"/>
      </xdr:nvSpPr>
      <xdr:spPr>
        <a:xfrm>
          <a:off x="3337036" y="1476178"/>
          <a:ext cx="2530365" cy="5355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600" b="1" i="0" u="none" strike="noStrike">
              <a:solidFill>
                <a:schemeClr val="dk1"/>
              </a:solidFill>
              <a:effectLst/>
              <a:latin typeface="+mn-lt"/>
              <a:ea typeface="+mn-ea"/>
              <a:cs typeface="+mn-cs"/>
            </a:rPr>
            <a:t>26.07 </a:t>
          </a:r>
          <a:endParaRPr lang="en-IN" sz="3600" b="1"/>
        </a:p>
      </xdr:txBody>
    </xdr:sp>
    <xdr:clientData/>
  </xdr:twoCellAnchor>
  <xdr:twoCellAnchor>
    <xdr:from>
      <xdr:col>19</xdr:col>
      <xdr:colOff>324506</xdr:colOff>
      <xdr:row>22</xdr:row>
      <xdr:rowOff>74886</xdr:rowOff>
    </xdr:from>
    <xdr:to>
      <xdr:col>21</xdr:col>
      <xdr:colOff>30217</xdr:colOff>
      <xdr:row>27</xdr:row>
      <xdr:rowOff>69631</xdr:rowOff>
    </xdr:to>
    <xdr:sp macro="" textlink="">
      <xdr:nvSpPr>
        <xdr:cNvPr id="54" name="TextBox 53">
          <a:extLst>
            <a:ext uri="{FF2B5EF4-FFF2-40B4-BE49-F238E27FC236}">
              <a16:creationId xmlns:a16="http://schemas.microsoft.com/office/drawing/2014/main" id="{76CC1EAF-93F7-4A56-B47E-328C7A81C1FB}"/>
            </a:ext>
          </a:extLst>
        </xdr:cNvPr>
        <xdr:cNvSpPr txBox="1"/>
      </xdr:nvSpPr>
      <xdr:spPr>
        <a:xfrm>
          <a:off x="11906906" y="4098246"/>
          <a:ext cx="924911" cy="9091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10</xdr:col>
      <xdr:colOff>144517</xdr:colOff>
      <xdr:row>7</xdr:row>
      <xdr:rowOff>157655</xdr:rowOff>
    </xdr:from>
    <xdr:to>
      <xdr:col>14</xdr:col>
      <xdr:colOff>486102</xdr:colOff>
      <xdr:row>11</xdr:row>
      <xdr:rowOff>13138</xdr:rowOff>
    </xdr:to>
    <xdr:sp macro="" textlink="">
      <xdr:nvSpPr>
        <xdr:cNvPr id="55" name="TextBox 54">
          <a:extLst>
            <a:ext uri="{FF2B5EF4-FFF2-40B4-BE49-F238E27FC236}">
              <a16:creationId xmlns:a16="http://schemas.microsoft.com/office/drawing/2014/main" id="{6F8DE229-49CF-4744-A96B-B9E8FB043E4D}"/>
            </a:ext>
          </a:extLst>
        </xdr:cNvPr>
        <xdr:cNvSpPr txBox="1"/>
      </xdr:nvSpPr>
      <xdr:spPr>
        <a:xfrm>
          <a:off x="6240517" y="1437815"/>
          <a:ext cx="2779985" cy="5870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600" b="1" i="0" u="none" strike="noStrike">
              <a:solidFill>
                <a:schemeClr val="dk1"/>
              </a:solidFill>
              <a:effectLst/>
              <a:latin typeface="+mn-lt"/>
              <a:ea typeface="+mn-ea"/>
              <a:cs typeface="+mn-cs"/>
            </a:rPr>
            <a:t>   64.02 </a:t>
          </a:r>
          <a:r>
            <a:rPr lang="en-IN" sz="3600"/>
            <a:t>💧</a:t>
          </a:r>
          <a:endParaRPr lang="en-IN" sz="3600" b="1" i="0"/>
        </a:p>
      </xdr:txBody>
    </xdr:sp>
    <xdr:clientData/>
  </xdr:twoCellAnchor>
  <xdr:twoCellAnchor>
    <xdr:from>
      <xdr:col>15</xdr:col>
      <xdr:colOff>118242</xdr:colOff>
      <xdr:row>7</xdr:row>
      <xdr:rowOff>131380</xdr:rowOff>
    </xdr:from>
    <xdr:to>
      <xdr:col>19</xdr:col>
      <xdr:colOff>420414</xdr:colOff>
      <xdr:row>10</xdr:row>
      <xdr:rowOff>118242</xdr:rowOff>
    </xdr:to>
    <xdr:sp macro="" textlink="">
      <xdr:nvSpPr>
        <xdr:cNvPr id="56" name="TextBox 55">
          <a:extLst>
            <a:ext uri="{FF2B5EF4-FFF2-40B4-BE49-F238E27FC236}">
              <a16:creationId xmlns:a16="http://schemas.microsoft.com/office/drawing/2014/main" id="{E0BAB7F9-7B90-4C15-8118-B7994DE7C57C}"/>
            </a:ext>
          </a:extLst>
        </xdr:cNvPr>
        <xdr:cNvSpPr txBox="1"/>
      </xdr:nvSpPr>
      <xdr:spPr>
        <a:xfrm>
          <a:off x="9262242" y="1411540"/>
          <a:ext cx="2740572" cy="5355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600" b="1" i="0" u="none" strike="noStrike">
              <a:solidFill>
                <a:schemeClr val="dk1"/>
              </a:solidFill>
              <a:effectLst/>
              <a:latin typeface="+mn-lt"/>
              <a:ea typeface="+mn-ea"/>
              <a:cs typeface="+mn-cs"/>
            </a:rPr>
            <a:t>   21962</a:t>
          </a:r>
          <a:r>
            <a:rPr lang="en-IN" sz="3600" b="1">
              <a:effectLst/>
            </a:rPr>
            <a:t> </a:t>
          </a:r>
          <a:endParaRPr lang="en-IN" sz="3600" b="1"/>
        </a:p>
      </xdr:txBody>
    </xdr:sp>
    <xdr:clientData/>
  </xdr:twoCellAnchor>
  <xdr:twoCellAnchor>
    <xdr:from>
      <xdr:col>20</xdr:col>
      <xdr:colOff>78827</xdr:colOff>
      <xdr:row>8</xdr:row>
      <xdr:rowOff>39414</xdr:rowOff>
    </xdr:from>
    <xdr:to>
      <xdr:col>24</xdr:col>
      <xdr:colOff>289034</xdr:colOff>
      <xdr:row>11</xdr:row>
      <xdr:rowOff>39414</xdr:rowOff>
    </xdr:to>
    <xdr:sp macro="" textlink="">
      <xdr:nvSpPr>
        <xdr:cNvPr id="57" name="TextBox 56">
          <a:extLst>
            <a:ext uri="{FF2B5EF4-FFF2-40B4-BE49-F238E27FC236}">
              <a16:creationId xmlns:a16="http://schemas.microsoft.com/office/drawing/2014/main" id="{541687F2-9930-443B-BF54-824FE0B4AFC7}"/>
            </a:ext>
          </a:extLst>
        </xdr:cNvPr>
        <xdr:cNvSpPr txBox="1"/>
      </xdr:nvSpPr>
      <xdr:spPr>
        <a:xfrm>
          <a:off x="12270827" y="1502454"/>
          <a:ext cx="2648607"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600" b="1" i="0" u="none" strike="noStrike">
              <a:solidFill>
                <a:schemeClr val="dk1"/>
              </a:solidFill>
              <a:effectLst/>
              <a:latin typeface="+mn-lt"/>
              <a:ea typeface="+mn-ea"/>
              <a:cs typeface="+mn-cs"/>
            </a:rPr>
            <a:t>  18.1</a:t>
          </a:r>
          <a:r>
            <a:rPr lang="en-IN" sz="3600" b="1">
              <a:effectLst/>
            </a:rPr>
            <a:t> </a:t>
          </a:r>
          <a:endParaRPr lang="en-IN" sz="3600" b="1"/>
        </a:p>
      </xdr:txBody>
    </xdr:sp>
    <xdr:clientData/>
  </xdr:twoCellAnchor>
  <xdr:twoCellAnchor editAs="oneCell">
    <xdr:from>
      <xdr:col>22</xdr:col>
      <xdr:colOff>183931</xdr:colOff>
      <xdr:row>8</xdr:row>
      <xdr:rowOff>21021</xdr:rowOff>
    </xdr:from>
    <xdr:to>
      <xdr:col>23</xdr:col>
      <xdr:colOff>433553</xdr:colOff>
      <xdr:row>11</xdr:row>
      <xdr:rowOff>73573</xdr:rowOff>
    </xdr:to>
    <xdr:pic>
      <xdr:nvPicPr>
        <xdr:cNvPr id="59" name="Graphic 58" descr="Leaf with solid fill">
          <a:extLst>
            <a:ext uri="{FF2B5EF4-FFF2-40B4-BE49-F238E27FC236}">
              <a16:creationId xmlns:a16="http://schemas.microsoft.com/office/drawing/2014/main" id="{868FCF1F-3FDB-457E-94C9-EBC7160343F5}"/>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3595131" y="1484061"/>
          <a:ext cx="859222" cy="601192"/>
        </a:xfrm>
        <a:prstGeom prst="rect">
          <a:avLst/>
        </a:prstGeom>
      </xdr:spPr>
    </xdr:pic>
    <xdr:clientData/>
  </xdr:twoCellAnchor>
  <xdr:twoCellAnchor editAs="oneCell">
    <xdr:from>
      <xdr:col>7</xdr:col>
      <xdr:colOff>499241</xdr:colOff>
      <xdr:row>7</xdr:row>
      <xdr:rowOff>178678</xdr:rowOff>
    </xdr:from>
    <xdr:to>
      <xdr:col>9</xdr:col>
      <xdr:colOff>105104</xdr:colOff>
      <xdr:row>11</xdr:row>
      <xdr:rowOff>73574</xdr:rowOff>
    </xdr:to>
    <xdr:pic>
      <xdr:nvPicPr>
        <xdr:cNvPr id="60" name="Graphic 59" descr="Sun with solid fill">
          <a:extLst>
            <a:ext uri="{FF2B5EF4-FFF2-40B4-BE49-F238E27FC236}">
              <a16:creationId xmlns:a16="http://schemas.microsoft.com/office/drawing/2014/main" id="{699B4DCE-A8A8-4A80-A093-FC23DC155E16}"/>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766441" y="1458838"/>
          <a:ext cx="825063" cy="626416"/>
        </a:xfrm>
        <a:prstGeom prst="rect">
          <a:avLst/>
        </a:prstGeom>
      </xdr:spPr>
    </xdr:pic>
    <xdr:clientData/>
  </xdr:twoCellAnchor>
  <xdr:twoCellAnchor editAs="oneCell">
    <xdr:from>
      <xdr:col>18</xdr:col>
      <xdr:colOff>39414</xdr:colOff>
      <xdr:row>8</xdr:row>
      <xdr:rowOff>47297</xdr:rowOff>
    </xdr:from>
    <xdr:to>
      <xdr:col>19</xdr:col>
      <xdr:colOff>223346</xdr:colOff>
      <xdr:row>11</xdr:row>
      <xdr:rowOff>34159</xdr:rowOff>
    </xdr:to>
    <xdr:pic>
      <xdr:nvPicPr>
        <xdr:cNvPr id="61" name="Graphic 60" descr="Cloud with solid fill">
          <a:extLst>
            <a:ext uri="{FF2B5EF4-FFF2-40B4-BE49-F238E27FC236}">
              <a16:creationId xmlns:a16="http://schemas.microsoft.com/office/drawing/2014/main" id="{BC6EA690-EF38-4DBB-A1FB-CCF44A92297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1012214" y="1510337"/>
          <a:ext cx="793532" cy="535502"/>
        </a:xfrm>
        <a:prstGeom prst="rect">
          <a:avLst/>
        </a:prstGeom>
      </xdr:spPr>
    </xdr:pic>
    <xdr:clientData/>
  </xdr:twoCellAnchor>
  <xdr:twoCellAnchor>
    <xdr:from>
      <xdr:col>0</xdr:col>
      <xdr:colOff>137160</xdr:colOff>
      <xdr:row>14</xdr:row>
      <xdr:rowOff>106680</xdr:rowOff>
    </xdr:from>
    <xdr:to>
      <xdr:col>4</xdr:col>
      <xdr:colOff>396240</xdr:colOff>
      <xdr:row>19</xdr:row>
      <xdr:rowOff>121920</xdr:rowOff>
    </xdr:to>
    <xdr:sp macro="" textlink="">
      <xdr:nvSpPr>
        <xdr:cNvPr id="63" name="Rectangle: Rounded Corners 62">
          <a:hlinkClick xmlns:r="http://schemas.openxmlformats.org/officeDocument/2006/relationships" r:id="rId8"/>
          <a:extLst>
            <a:ext uri="{FF2B5EF4-FFF2-40B4-BE49-F238E27FC236}">
              <a16:creationId xmlns:a16="http://schemas.microsoft.com/office/drawing/2014/main" id="{B11F5C16-5699-45C6-8EE1-09F58DE6B50B}"/>
            </a:ext>
          </a:extLst>
        </xdr:cNvPr>
        <xdr:cNvSpPr/>
      </xdr:nvSpPr>
      <xdr:spPr>
        <a:xfrm>
          <a:off x="137160" y="2667000"/>
          <a:ext cx="2697480" cy="929640"/>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243840</xdr:colOff>
      <xdr:row>23</xdr:row>
      <xdr:rowOff>0</xdr:rowOff>
    </xdr:from>
    <xdr:to>
      <xdr:col>4</xdr:col>
      <xdr:colOff>167640</xdr:colOff>
      <xdr:row>28</xdr:row>
      <xdr:rowOff>160020</xdr:rowOff>
    </xdr:to>
    <xdr:sp macro="" textlink="">
      <xdr:nvSpPr>
        <xdr:cNvPr id="64" name="TextBox 63">
          <a:extLst>
            <a:ext uri="{FF2B5EF4-FFF2-40B4-BE49-F238E27FC236}">
              <a16:creationId xmlns:a16="http://schemas.microsoft.com/office/drawing/2014/main" id="{0110C097-AB43-4461-BD13-16E04C667D72}"/>
            </a:ext>
          </a:extLst>
        </xdr:cNvPr>
        <xdr:cNvSpPr txBox="1"/>
      </xdr:nvSpPr>
      <xdr:spPr>
        <a:xfrm>
          <a:off x="243840" y="4206240"/>
          <a:ext cx="2362200" cy="1074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3200">
            <a:solidFill>
              <a:srgbClr val="FF0000"/>
            </a:solidFill>
          </a:endParaRPr>
        </a:p>
      </xdr:txBody>
    </xdr:sp>
    <xdr:clientData/>
  </xdr:twoCellAnchor>
  <xdr:oneCellAnchor>
    <xdr:from>
      <xdr:col>28</xdr:col>
      <xdr:colOff>350520</xdr:colOff>
      <xdr:row>40</xdr:row>
      <xdr:rowOff>76200</xdr:rowOff>
    </xdr:from>
    <xdr:ext cx="184731" cy="264560"/>
    <xdr:sp macro="" textlink="">
      <xdr:nvSpPr>
        <xdr:cNvPr id="65" name="TextBox 64">
          <a:extLst>
            <a:ext uri="{FF2B5EF4-FFF2-40B4-BE49-F238E27FC236}">
              <a16:creationId xmlns:a16="http://schemas.microsoft.com/office/drawing/2014/main" id="{6F9E9F32-B3F7-4540-9399-A9B8778F1BC6}"/>
            </a:ext>
          </a:extLst>
        </xdr:cNvPr>
        <xdr:cNvSpPr txBox="1"/>
      </xdr:nvSpPr>
      <xdr:spPr>
        <a:xfrm>
          <a:off x="17419320" y="739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0</xdr:col>
      <xdr:colOff>106680</xdr:colOff>
      <xdr:row>21</xdr:row>
      <xdr:rowOff>60960</xdr:rowOff>
    </xdr:from>
    <xdr:to>
      <xdr:col>4</xdr:col>
      <xdr:colOff>381000</xdr:colOff>
      <xdr:row>26</xdr:row>
      <xdr:rowOff>76200</xdr:rowOff>
    </xdr:to>
    <xdr:sp macro="" textlink="">
      <xdr:nvSpPr>
        <xdr:cNvPr id="66" name="Rectangle: Rounded Corners 65">
          <a:extLst>
            <a:ext uri="{FF2B5EF4-FFF2-40B4-BE49-F238E27FC236}">
              <a16:creationId xmlns:a16="http://schemas.microsoft.com/office/drawing/2014/main" id="{F6022FE3-6BA8-40F6-AB90-2E72469E4B83}"/>
            </a:ext>
          </a:extLst>
        </xdr:cNvPr>
        <xdr:cNvSpPr/>
      </xdr:nvSpPr>
      <xdr:spPr>
        <a:xfrm>
          <a:off x="106680" y="3901440"/>
          <a:ext cx="2712720" cy="929640"/>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TE</a:t>
          </a:r>
        </a:p>
      </xdr:txBody>
    </xdr:sp>
    <xdr:clientData/>
  </xdr:twoCellAnchor>
  <xdr:twoCellAnchor>
    <xdr:from>
      <xdr:col>0</xdr:col>
      <xdr:colOff>213360</xdr:colOff>
      <xdr:row>29</xdr:row>
      <xdr:rowOff>45720</xdr:rowOff>
    </xdr:from>
    <xdr:to>
      <xdr:col>4</xdr:col>
      <xdr:colOff>137160</xdr:colOff>
      <xdr:row>35</xdr:row>
      <xdr:rowOff>22860</xdr:rowOff>
    </xdr:to>
    <xdr:sp macro="" textlink="">
      <xdr:nvSpPr>
        <xdr:cNvPr id="67" name="TextBox 66">
          <a:extLst>
            <a:ext uri="{FF2B5EF4-FFF2-40B4-BE49-F238E27FC236}">
              <a16:creationId xmlns:a16="http://schemas.microsoft.com/office/drawing/2014/main" id="{285EF0D4-CD0A-49F1-B11D-79C89740A824}"/>
            </a:ext>
          </a:extLst>
        </xdr:cNvPr>
        <xdr:cNvSpPr txBox="1"/>
      </xdr:nvSpPr>
      <xdr:spPr>
        <a:xfrm>
          <a:off x="213360" y="5349240"/>
          <a:ext cx="2362200" cy="1074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3200">
            <a:solidFill>
              <a:srgbClr val="FF0000"/>
            </a:solidFill>
          </a:endParaRPr>
        </a:p>
      </xdr:txBody>
    </xdr:sp>
    <xdr:clientData/>
  </xdr:twoCellAnchor>
  <xdr:twoCellAnchor>
    <xdr:from>
      <xdr:col>0</xdr:col>
      <xdr:colOff>121920</xdr:colOff>
      <xdr:row>27</xdr:row>
      <xdr:rowOff>167640</xdr:rowOff>
    </xdr:from>
    <xdr:to>
      <xdr:col>4</xdr:col>
      <xdr:colOff>335280</xdr:colOff>
      <xdr:row>32</xdr:row>
      <xdr:rowOff>198120</xdr:rowOff>
    </xdr:to>
    <xdr:sp macro="" textlink="">
      <xdr:nvSpPr>
        <xdr:cNvPr id="68" name="Rectangle: Rounded Corners 67">
          <a:hlinkClick xmlns:r="http://schemas.openxmlformats.org/officeDocument/2006/relationships" r:id="rId8"/>
          <a:extLst>
            <a:ext uri="{FF2B5EF4-FFF2-40B4-BE49-F238E27FC236}">
              <a16:creationId xmlns:a16="http://schemas.microsoft.com/office/drawing/2014/main" id="{259B9BC5-6952-41CC-AB33-8B0886505065}"/>
            </a:ext>
          </a:extLst>
        </xdr:cNvPr>
        <xdr:cNvSpPr/>
      </xdr:nvSpPr>
      <xdr:spPr>
        <a:xfrm>
          <a:off x="121920" y="5105400"/>
          <a:ext cx="2651760" cy="944880"/>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152400</xdr:colOff>
      <xdr:row>36</xdr:row>
      <xdr:rowOff>76200</xdr:rowOff>
    </xdr:from>
    <xdr:to>
      <xdr:col>4</xdr:col>
      <xdr:colOff>76200</xdr:colOff>
      <xdr:row>42</xdr:row>
      <xdr:rowOff>53340</xdr:rowOff>
    </xdr:to>
    <xdr:sp macro="" textlink="">
      <xdr:nvSpPr>
        <xdr:cNvPr id="69" name="TextBox 68">
          <a:extLst>
            <a:ext uri="{FF2B5EF4-FFF2-40B4-BE49-F238E27FC236}">
              <a16:creationId xmlns:a16="http://schemas.microsoft.com/office/drawing/2014/main" id="{FB703C6E-FDD9-466F-B0C0-D4A00E1EDE9F}"/>
            </a:ext>
          </a:extLst>
        </xdr:cNvPr>
        <xdr:cNvSpPr txBox="1"/>
      </xdr:nvSpPr>
      <xdr:spPr>
        <a:xfrm>
          <a:off x="152400" y="6659880"/>
          <a:ext cx="2362200" cy="1074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3200">
            <a:solidFill>
              <a:srgbClr val="FF0000"/>
            </a:solidFill>
          </a:endParaRPr>
        </a:p>
      </xdr:txBody>
    </xdr:sp>
    <xdr:clientData/>
  </xdr:twoCellAnchor>
  <xdr:twoCellAnchor>
    <xdr:from>
      <xdr:col>0</xdr:col>
      <xdr:colOff>137160</xdr:colOff>
      <xdr:row>32</xdr:row>
      <xdr:rowOff>548640</xdr:rowOff>
    </xdr:from>
    <xdr:to>
      <xdr:col>4</xdr:col>
      <xdr:colOff>396240</xdr:colOff>
      <xdr:row>37</xdr:row>
      <xdr:rowOff>91440</xdr:rowOff>
    </xdr:to>
    <xdr:sp macro="" textlink="">
      <xdr:nvSpPr>
        <xdr:cNvPr id="70" name="Rectangle: Rounded Corners 69">
          <a:hlinkClick xmlns:r="http://schemas.openxmlformats.org/officeDocument/2006/relationships" r:id="rId1"/>
          <a:extLst>
            <a:ext uri="{FF2B5EF4-FFF2-40B4-BE49-F238E27FC236}">
              <a16:creationId xmlns:a16="http://schemas.microsoft.com/office/drawing/2014/main" id="{A1E08EB0-028F-4B61-9621-AAA6A49CF25D}"/>
            </a:ext>
          </a:extLst>
        </xdr:cNvPr>
        <xdr:cNvSpPr/>
      </xdr:nvSpPr>
      <xdr:spPr>
        <a:xfrm>
          <a:off x="137160" y="6400800"/>
          <a:ext cx="2697480" cy="929640"/>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198120</xdr:colOff>
      <xdr:row>42</xdr:row>
      <xdr:rowOff>45720</xdr:rowOff>
    </xdr:from>
    <xdr:to>
      <xdr:col>4</xdr:col>
      <xdr:colOff>121920</xdr:colOff>
      <xdr:row>48</xdr:row>
      <xdr:rowOff>22860</xdr:rowOff>
    </xdr:to>
    <xdr:sp macro="" textlink="">
      <xdr:nvSpPr>
        <xdr:cNvPr id="71" name="TextBox 70">
          <a:extLst>
            <a:ext uri="{FF2B5EF4-FFF2-40B4-BE49-F238E27FC236}">
              <a16:creationId xmlns:a16="http://schemas.microsoft.com/office/drawing/2014/main" id="{FD8B3489-2C03-4637-B8E9-C22CD47BFA2E}"/>
            </a:ext>
          </a:extLst>
        </xdr:cNvPr>
        <xdr:cNvSpPr txBox="1"/>
      </xdr:nvSpPr>
      <xdr:spPr>
        <a:xfrm>
          <a:off x="198120" y="7726680"/>
          <a:ext cx="2362200" cy="1074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3200">
            <a:solidFill>
              <a:srgbClr val="FF0000"/>
            </a:solidFill>
          </a:endParaRPr>
        </a:p>
      </xdr:txBody>
    </xdr:sp>
    <xdr:clientData/>
  </xdr:twoCellAnchor>
  <xdr:twoCellAnchor>
    <xdr:from>
      <xdr:col>0</xdr:col>
      <xdr:colOff>106680</xdr:colOff>
      <xdr:row>38</xdr:row>
      <xdr:rowOff>60960</xdr:rowOff>
    </xdr:from>
    <xdr:to>
      <xdr:col>4</xdr:col>
      <xdr:colOff>350520</xdr:colOff>
      <xdr:row>43</xdr:row>
      <xdr:rowOff>121920</xdr:rowOff>
    </xdr:to>
    <xdr:sp macro="" textlink="">
      <xdr:nvSpPr>
        <xdr:cNvPr id="72" name="Rectangle: Rounded Corners 71">
          <a:hlinkClick xmlns:r="http://schemas.openxmlformats.org/officeDocument/2006/relationships" r:id="rId1"/>
          <a:extLst>
            <a:ext uri="{FF2B5EF4-FFF2-40B4-BE49-F238E27FC236}">
              <a16:creationId xmlns:a16="http://schemas.microsoft.com/office/drawing/2014/main" id="{E224A383-A995-4CC9-B38F-F507C9EB1C0A}"/>
            </a:ext>
          </a:extLst>
        </xdr:cNvPr>
        <xdr:cNvSpPr/>
      </xdr:nvSpPr>
      <xdr:spPr>
        <a:xfrm>
          <a:off x="106680" y="7482840"/>
          <a:ext cx="2682240" cy="975360"/>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289560</xdr:colOff>
      <xdr:row>15</xdr:row>
      <xdr:rowOff>30480</xdr:rowOff>
    </xdr:from>
    <xdr:to>
      <xdr:col>4</xdr:col>
      <xdr:colOff>411480</xdr:colOff>
      <xdr:row>19</xdr:row>
      <xdr:rowOff>99060</xdr:rowOff>
    </xdr:to>
    <xdr:sp macro="" textlink="">
      <xdr:nvSpPr>
        <xdr:cNvPr id="73" name="TextBox 72">
          <a:extLst>
            <a:ext uri="{FF2B5EF4-FFF2-40B4-BE49-F238E27FC236}">
              <a16:creationId xmlns:a16="http://schemas.microsoft.com/office/drawing/2014/main" id="{F465C71E-1C24-4475-BA67-2B111713D2CB}"/>
            </a:ext>
          </a:extLst>
        </xdr:cNvPr>
        <xdr:cNvSpPr txBox="1"/>
      </xdr:nvSpPr>
      <xdr:spPr>
        <a:xfrm>
          <a:off x="289560" y="2773680"/>
          <a:ext cx="2560320" cy="800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b="1">
              <a:solidFill>
                <a:schemeClr val="tx1"/>
              </a:solidFill>
            </a:rPr>
            <a:t>DASHBOARD</a:t>
          </a:r>
        </a:p>
      </xdr:txBody>
    </xdr:sp>
    <xdr:clientData/>
  </xdr:twoCellAnchor>
  <xdr:twoCellAnchor>
    <xdr:from>
      <xdr:col>30</xdr:col>
      <xdr:colOff>15240</xdr:colOff>
      <xdr:row>48</xdr:row>
      <xdr:rowOff>60961</xdr:rowOff>
    </xdr:from>
    <xdr:to>
      <xdr:col>36</xdr:col>
      <xdr:colOff>213360</xdr:colOff>
      <xdr:row>50</xdr:row>
      <xdr:rowOff>167640</xdr:rowOff>
    </xdr:to>
    <xdr:sp macro="" textlink="">
      <xdr:nvSpPr>
        <xdr:cNvPr id="74" name="TextBox 73">
          <a:extLst>
            <a:ext uri="{FF2B5EF4-FFF2-40B4-BE49-F238E27FC236}">
              <a16:creationId xmlns:a16="http://schemas.microsoft.com/office/drawing/2014/main" id="{E2BFD0A3-9E18-4106-B7FE-2A03A960A6B6}"/>
            </a:ext>
          </a:extLst>
        </xdr:cNvPr>
        <xdr:cNvSpPr txBox="1"/>
      </xdr:nvSpPr>
      <xdr:spPr>
        <a:xfrm>
          <a:off x="18303240" y="8839201"/>
          <a:ext cx="3855720" cy="4724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0</xdr:col>
      <xdr:colOff>243840</xdr:colOff>
      <xdr:row>21</xdr:row>
      <xdr:rowOff>121920</xdr:rowOff>
    </xdr:from>
    <xdr:to>
      <xdr:col>4</xdr:col>
      <xdr:colOff>289560</xdr:colOff>
      <xdr:row>26</xdr:row>
      <xdr:rowOff>91440</xdr:rowOff>
    </xdr:to>
    <xdr:sp macro="" textlink="">
      <xdr:nvSpPr>
        <xdr:cNvPr id="75" name="TextBox 74">
          <a:hlinkClick xmlns:r="http://schemas.openxmlformats.org/officeDocument/2006/relationships" r:id="rId8"/>
          <a:extLst>
            <a:ext uri="{FF2B5EF4-FFF2-40B4-BE49-F238E27FC236}">
              <a16:creationId xmlns:a16="http://schemas.microsoft.com/office/drawing/2014/main" id="{F9F12566-70DC-48BF-A503-A7F05B7DE7A6}"/>
            </a:ext>
          </a:extLst>
        </xdr:cNvPr>
        <xdr:cNvSpPr txBox="1"/>
      </xdr:nvSpPr>
      <xdr:spPr>
        <a:xfrm>
          <a:off x="243840" y="3962400"/>
          <a:ext cx="2484120" cy="883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a:solidFill>
                <a:sysClr val="windowText" lastClr="000000"/>
              </a:solidFill>
            </a:rPr>
            <a:t>TEMPERATURE</a:t>
          </a:r>
        </a:p>
      </xdr:txBody>
    </xdr:sp>
    <xdr:clientData/>
  </xdr:twoCellAnchor>
  <xdr:twoCellAnchor>
    <xdr:from>
      <xdr:col>0</xdr:col>
      <xdr:colOff>198120</xdr:colOff>
      <xdr:row>28</xdr:row>
      <xdr:rowOff>91440</xdr:rowOff>
    </xdr:from>
    <xdr:to>
      <xdr:col>4</xdr:col>
      <xdr:colOff>274320</xdr:colOff>
      <xdr:row>32</xdr:row>
      <xdr:rowOff>91440</xdr:rowOff>
    </xdr:to>
    <xdr:sp macro="" textlink="">
      <xdr:nvSpPr>
        <xdr:cNvPr id="76" name="TextBox 75">
          <a:extLst>
            <a:ext uri="{FF2B5EF4-FFF2-40B4-BE49-F238E27FC236}">
              <a16:creationId xmlns:a16="http://schemas.microsoft.com/office/drawing/2014/main" id="{857366B9-DE59-4614-9CE1-3F843F7D15BE}"/>
            </a:ext>
          </a:extLst>
        </xdr:cNvPr>
        <xdr:cNvSpPr txBox="1"/>
      </xdr:nvSpPr>
      <xdr:spPr>
        <a:xfrm>
          <a:off x="198120" y="5212080"/>
          <a:ext cx="2514600" cy="731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b="1"/>
            <a:t>HUMIDITY</a:t>
          </a:r>
        </a:p>
      </xdr:txBody>
    </xdr:sp>
    <xdr:clientData/>
  </xdr:twoCellAnchor>
  <xdr:twoCellAnchor>
    <xdr:from>
      <xdr:col>0</xdr:col>
      <xdr:colOff>137160</xdr:colOff>
      <xdr:row>32</xdr:row>
      <xdr:rowOff>533400</xdr:rowOff>
    </xdr:from>
    <xdr:to>
      <xdr:col>4</xdr:col>
      <xdr:colOff>289560</xdr:colOff>
      <xdr:row>36</xdr:row>
      <xdr:rowOff>30480</xdr:rowOff>
    </xdr:to>
    <xdr:sp macro="" textlink="">
      <xdr:nvSpPr>
        <xdr:cNvPr id="77" name="TextBox 76">
          <a:extLst>
            <a:ext uri="{FF2B5EF4-FFF2-40B4-BE49-F238E27FC236}">
              <a16:creationId xmlns:a16="http://schemas.microsoft.com/office/drawing/2014/main" id="{C172DFCC-8EE9-40CA-8186-C42F5A5976EF}"/>
            </a:ext>
          </a:extLst>
        </xdr:cNvPr>
        <xdr:cNvSpPr txBox="1"/>
      </xdr:nvSpPr>
      <xdr:spPr>
        <a:xfrm>
          <a:off x="137160" y="6385560"/>
          <a:ext cx="2590800" cy="701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b="1"/>
            <a:t>WEATHER</a:t>
          </a:r>
        </a:p>
      </xdr:txBody>
    </xdr:sp>
    <xdr:clientData/>
  </xdr:twoCellAnchor>
  <xdr:twoCellAnchor>
    <xdr:from>
      <xdr:col>0</xdr:col>
      <xdr:colOff>213360</xdr:colOff>
      <xdr:row>38</xdr:row>
      <xdr:rowOff>167640</xdr:rowOff>
    </xdr:from>
    <xdr:to>
      <xdr:col>4</xdr:col>
      <xdr:colOff>335280</xdr:colOff>
      <xdr:row>43</xdr:row>
      <xdr:rowOff>76200</xdr:rowOff>
    </xdr:to>
    <xdr:sp macro="" textlink="">
      <xdr:nvSpPr>
        <xdr:cNvPr id="78" name="TextBox 77">
          <a:hlinkClick xmlns:r="http://schemas.openxmlformats.org/officeDocument/2006/relationships" r:id="rId8"/>
          <a:extLst>
            <a:ext uri="{FF2B5EF4-FFF2-40B4-BE49-F238E27FC236}">
              <a16:creationId xmlns:a16="http://schemas.microsoft.com/office/drawing/2014/main" id="{FFBB791B-AAA9-4A57-A074-B2D61964BB21}"/>
            </a:ext>
          </a:extLst>
        </xdr:cNvPr>
        <xdr:cNvSpPr txBox="1"/>
      </xdr:nvSpPr>
      <xdr:spPr>
        <a:xfrm>
          <a:off x="213360" y="7589520"/>
          <a:ext cx="2560320" cy="822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b="1"/>
            <a:t>RAINFALL</a:t>
          </a:r>
        </a:p>
      </xdr:txBody>
    </xdr:sp>
    <xdr:clientData/>
  </xdr:twoCellAnchor>
  <xdr:twoCellAnchor>
    <xdr:from>
      <xdr:col>5</xdr:col>
      <xdr:colOff>0</xdr:colOff>
      <xdr:row>23</xdr:row>
      <xdr:rowOff>124546</xdr:rowOff>
    </xdr:from>
    <xdr:to>
      <xdr:col>15</xdr:col>
      <xdr:colOff>228600</xdr:colOff>
      <xdr:row>59</xdr:row>
      <xdr:rowOff>137160</xdr:rowOff>
    </xdr:to>
    <xdr:sp macro="" textlink="">
      <xdr:nvSpPr>
        <xdr:cNvPr id="79" name="Rectangle 78">
          <a:extLst>
            <a:ext uri="{FF2B5EF4-FFF2-40B4-BE49-F238E27FC236}">
              <a16:creationId xmlns:a16="http://schemas.microsoft.com/office/drawing/2014/main" id="{BCC4BA61-3C47-4EE6-A7F1-5A0FDDE760B7}"/>
            </a:ext>
          </a:extLst>
        </xdr:cNvPr>
        <xdr:cNvSpPr/>
      </xdr:nvSpPr>
      <xdr:spPr>
        <a:xfrm>
          <a:off x="3048000" y="4330786"/>
          <a:ext cx="6324600" cy="7068734"/>
        </a:xfrm>
        <a:prstGeom prst="rect">
          <a:avLst/>
        </a:prstGeom>
        <a:solidFill>
          <a:schemeClr val="bg1"/>
        </a:solid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594360</xdr:colOff>
      <xdr:row>23</xdr:row>
      <xdr:rowOff>139786</xdr:rowOff>
    </xdr:from>
    <xdr:to>
      <xdr:col>15</xdr:col>
      <xdr:colOff>243840</xdr:colOff>
      <xdr:row>27</xdr:row>
      <xdr:rowOff>101423</xdr:rowOff>
    </xdr:to>
    <xdr:sp macro="" textlink="">
      <xdr:nvSpPr>
        <xdr:cNvPr id="80" name="Rectangle 79">
          <a:extLst>
            <a:ext uri="{FF2B5EF4-FFF2-40B4-BE49-F238E27FC236}">
              <a16:creationId xmlns:a16="http://schemas.microsoft.com/office/drawing/2014/main" id="{11B938FB-D1F8-4ED7-8839-B3615578F57D}"/>
            </a:ext>
          </a:extLst>
        </xdr:cNvPr>
        <xdr:cNvSpPr/>
      </xdr:nvSpPr>
      <xdr:spPr>
        <a:xfrm>
          <a:off x="3032760" y="4346026"/>
          <a:ext cx="6355080" cy="693157"/>
        </a:xfrm>
        <a:prstGeom prst="rect">
          <a:avLst/>
        </a:prstGeom>
        <a:solidFill>
          <a:srgbClr val="FF0000"/>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5</xdr:col>
      <xdr:colOff>533400</xdr:colOff>
      <xdr:row>24</xdr:row>
      <xdr:rowOff>14842</xdr:rowOff>
    </xdr:from>
    <xdr:to>
      <xdr:col>14</xdr:col>
      <xdr:colOff>91440</xdr:colOff>
      <xdr:row>27</xdr:row>
      <xdr:rowOff>167640</xdr:rowOff>
    </xdr:to>
    <xdr:pic>
      <xdr:nvPicPr>
        <xdr:cNvPr id="81" name="Picture 80">
          <a:extLst>
            <a:ext uri="{FF2B5EF4-FFF2-40B4-BE49-F238E27FC236}">
              <a16:creationId xmlns:a16="http://schemas.microsoft.com/office/drawing/2014/main" id="{AB5CB42C-9849-79E2-55EE-439B85D355F9}"/>
            </a:ext>
          </a:extLst>
        </xdr:cNvPr>
        <xdr:cNvPicPr>
          <a:picLocks noChangeAspect="1"/>
        </xdr:cNvPicPr>
      </xdr:nvPicPr>
      <xdr:blipFill>
        <a:blip xmlns:r="http://schemas.openxmlformats.org/officeDocument/2006/relationships" r:embed="rId9"/>
        <a:stretch>
          <a:fillRect/>
        </a:stretch>
      </xdr:blipFill>
      <xdr:spPr>
        <a:xfrm>
          <a:off x="3581400" y="4403962"/>
          <a:ext cx="5044440" cy="701438"/>
        </a:xfrm>
        <a:prstGeom prst="rect">
          <a:avLst/>
        </a:prstGeom>
      </xdr:spPr>
    </xdr:pic>
    <xdr:clientData/>
  </xdr:twoCellAnchor>
  <xdr:twoCellAnchor>
    <xdr:from>
      <xdr:col>5</xdr:col>
      <xdr:colOff>441960</xdr:colOff>
      <xdr:row>28</xdr:row>
      <xdr:rowOff>48346</xdr:rowOff>
    </xdr:from>
    <xdr:to>
      <xdr:col>14</xdr:col>
      <xdr:colOff>91440</xdr:colOff>
      <xdr:row>57</xdr:row>
      <xdr:rowOff>152400</xdr:rowOff>
    </xdr:to>
    <xdr:graphicFrame macro="">
      <xdr:nvGraphicFramePr>
        <xdr:cNvPr id="82" name="Chart 81">
          <a:extLst>
            <a:ext uri="{FF2B5EF4-FFF2-40B4-BE49-F238E27FC236}">
              <a16:creationId xmlns:a16="http://schemas.microsoft.com/office/drawing/2014/main" id="{9B3FD6B8-2E78-47F8-A5BD-633DB1A4F6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15</xdr:col>
      <xdr:colOff>91440</xdr:colOff>
      <xdr:row>26</xdr:row>
      <xdr:rowOff>0</xdr:rowOff>
    </xdr:from>
    <xdr:to>
      <xdr:col>24</xdr:col>
      <xdr:colOff>30480</xdr:colOff>
      <xdr:row>55</xdr:row>
      <xdr:rowOff>167640</xdr:rowOff>
    </xdr:to>
    <xdr:sp macro="" textlink="">
      <xdr:nvSpPr>
        <xdr:cNvPr id="4097" name="Text Box 1">
          <a:extLst>
            <a:ext uri="{FF2B5EF4-FFF2-40B4-BE49-F238E27FC236}">
              <a16:creationId xmlns:a16="http://schemas.microsoft.com/office/drawing/2014/main" id="{27974C71-D02D-237E-48B5-31A66FF2CFEA}"/>
            </a:ext>
          </a:extLst>
        </xdr:cNvPr>
        <xdr:cNvSpPr txBox="1">
          <a:spLocks noChangeArrowheads="1"/>
        </xdr:cNvSpPr>
      </xdr:nvSpPr>
      <xdr:spPr bwMode="auto">
        <a:xfrm flipH="1">
          <a:off x="9235440" y="4754880"/>
          <a:ext cx="5425440" cy="5471160"/>
        </a:xfrm>
        <a:prstGeom prst="rect">
          <a:avLst/>
        </a:prstGeom>
        <a:noFill/>
        <a:ln w="9525">
          <a:noFill/>
          <a:miter lim="800000"/>
          <a:headEnd/>
          <a:tailEnd/>
        </a:ln>
      </xdr:spPr>
      <xdr:txBody>
        <a:bodyPr vertOverflow="clip" wrap="square" lIns="27432" tIns="18288" rIns="0" bIns="0" anchor="ctr" upright="1"/>
        <a:lstStyle/>
        <a:p>
          <a:pPr algn="ctr" rtl="0">
            <a:defRPr sz="1000"/>
          </a:pPr>
          <a:endParaRPr lang="en-IN" sz="2400" b="0" i="0" u="none" strike="noStrike" baseline="0">
            <a:solidFill>
              <a:srgbClr val="000000"/>
            </a:solidFill>
            <a:latin typeface="Calibri"/>
            <a:ea typeface="Calibri"/>
            <a:cs typeface="Calibri"/>
          </a:endParaRPr>
        </a:p>
      </xdr:txBody>
    </xdr:sp>
    <xdr:clientData/>
  </xdr:twoCellAnchor>
  <xdr:twoCellAnchor>
    <xdr:from>
      <xdr:col>16</xdr:col>
      <xdr:colOff>30480</xdr:colOff>
      <xdr:row>25</xdr:row>
      <xdr:rowOff>76200</xdr:rowOff>
    </xdr:from>
    <xdr:to>
      <xdr:col>23</xdr:col>
      <xdr:colOff>563880</xdr:colOff>
      <xdr:row>57</xdr:row>
      <xdr:rowOff>152400</xdr:rowOff>
    </xdr:to>
    <xdr:sp macro="" textlink="">
      <xdr:nvSpPr>
        <xdr:cNvPr id="84" name="Oval 83">
          <a:extLst>
            <a:ext uri="{FF2B5EF4-FFF2-40B4-BE49-F238E27FC236}">
              <a16:creationId xmlns:a16="http://schemas.microsoft.com/office/drawing/2014/main" id="{10A3886E-BB72-FE04-7268-9EB4AC7EE067}"/>
            </a:ext>
          </a:extLst>
        </xdr:cNvPr>
        <xdr:cNvSpPr/>
      </xdr:nvSpPr>
      <xdr:spPr>
        <a:xfrm>
          <a:off x="9784080" y="4648200"/>
          <a:ext cx="4800600" cy="6400800"/>
        </a:xfrm>
        <a:prstGeom prst="ellipse">
          <a:avLst/>
        </a:prstGeom>
        <a:solidFill>
          <a:srgbClr val="E4FFAF"/>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396240</xdr:colOff>
      <xdr:row>29</xdr:row>
      <xdr:rowOff>152400</xdr:rowOff>
    </xdr:from>
    <xdr:to>
      <xdr:col>23</xdr:col>
      <xdr:colOff>198120</xdr:colOff>
      <xdr:row>51</xdr:row>
      <xdr:rowOff>60960</xdr:rowOff>
    </xdr:to>
    <xdr:sp macro="" textlink="">
      <xdr:nvSpPr>
        <xdr:cNvPr id="4098" name="Text Box 2">
          <a:extLst>
            <a:ext uri="{FF2B5EF4-FFF2-40B4-BE49-F238E27FC236}">
              <a16:creationId xmlns:a16="http://schemas.microsoft.com/office/drawing/2014/main" id="{059D463C-356E-B19F-49FE-61A0DE555948}"/>
            </a:ext>
          </a:extLst>
        </xdr:cNvPr>
        <xdr:cNvSpPr txBox="1">
          <a:spLocks noChangeArrowheads="1"/>
        </xdr:cNvSpPr>
      </xdr:nvSpPr>
      <xdr:spPr bwMode="auto">
        <a:xfrm>
          <a:off x="10149840" y="5455920"/>
          <a:ext cx="4069080" cy="4404360"/>
        </a:xfrm>
        <a:prstGeom prst="rect">
          <a:avLst/>
        </a:prstGeom>
        <a:noFill/>
        <a:ln w="9525">
          <a:noFill/>
          <a:miter lim="800000"/>
          <a:headEnd/>
          <a:tailEnd/>
        </a:ln>
      </xdr:spPr>
      <xdr:txBody>
        <a:bodyPr vertOverflow="clip" wrap="square" lIns="27432" tIns="18288" rIns="0" bIns="0" anchor="ctr" upright="1"/>
        <a:lstStyle/>
        <a:p>
          <a:pPr algn="ctr" rtl="0">
            <a:defRPr sz="1000"/>
          </a:pPr>
          <a:r>
            <a:rPr lang="en-IN" sz="3600" b="0" i="0" u="none" strike="noStrike" baseline="0">
              <a:solidFill>
                <a:srgbClr val="000000"/>
              </a:solidFill>
              <a:latin typeface="Calibri"/>
              <a:ea typeface="Calibri"/>
              <a:cs typeface="Calibri"/>
            </a:rPr>
            <a:t>It</a:t>
          </a:r>
        </a:p>
        <a:p>
          <a:pPr algn="ctr" rtl="0">
            <a:defRPr sz="1000"/>
          </a:pPr>
          <a:r>
            <a:rPr lang="en-IN" sz="3600" b="0" i="0" u="none" strike="noStrike" baseline="0">
              <a:solidFill>
                <a:srgbClr val="000000"/>
              </a:solidFill>
              <a:latin typeface="Calibri"/>
              <a:ea typeface="Calibri"/>
              <a:cs typeface="Calibri"/>
            </a:rPr>
            <a:t>Represents humidity levels in the atmosphere </a:t>
          </a:r>
          <a:r>
            <a:rPr lang="en-IN" sz="3600"/>
            <a:t>showing the amount of moisture present in the air</a:t>
          </a:r>
          <a:r>
            <a:rPr lang="en-IN" sz="3600" b="0" i="0" u="none" strike="noStrike" baseline="0">
              <a:solidFill>
                <a:srgbClr val="000000"/>
              </a:solidFill>
              <a:latin typeface="Calibri"/>
              <a:ea typeface="Calibri"/>
              <a:cs typeface="Calibri"/>
            </a:rPr>
            <a:t> </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7620</xdr:colOff>
      <xdr:row>0</xdr:row>
      <xdr:rowOff>0</xdr:rowOff>
    </xdr:from>
    <xdr:to>
      <xdr:col>24</xdr:col>
      <xdr:colOff>549691</xdr:colOff>
      <xdr:row>60</xdr:row>
      <xdr:rowOff>100900</xdr:rowOff>
    </xdr:to>
    <xdr:sp macro="" textlink="">
      <xdr:nvSpPr>
        <xdr:cNvPr id="2" name="Rectangle: Rounded Corners 1">
          <a:extLst>
            <a:ext uri="{FF2B5EF4-FFF2-40B4-BE49-F238E27FC236}">
              <a16:creationId xmlns:a16="http://schemas.microsoft.com/office/drawing/2014/main" id="{06FA340C-6146-44C4-898F-4F3343456BB6}"/>
            </a:ext>
          </a:extLst>
        </xdr:cNvPr>
        <xdr:cNvSpPr/>
      </xdr:nvSpPr>
      <xdr:spPr>
        <a:xfrm>
          <a:off x="7620" y="0"/>
          <a:ext cx="15172471" cy="11073700"/>
        </a:xfrm>
        <a:prstGeom prst="roundRect">
          <a:avLst>
            <a:gd name="adj" fmla="val 1"/>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502920</xdr:colOff>
      <xdr:row>0</xdr:row>
      <xdr:rowOff>0</xdr:rowOff>
    </xdr:from>
    <xdr:to>
      <xdr:col>24</xdr:col>
      <xdr:colOff>563881</xdr:colOff>
      <xdr:row>60</xdr:row>
      <xdr:rowOff>106680</xdr:rowOff>
    </xdr:to>
    <xdr:sp macro="" textlink="">
      <xdr:nvSpPr>
        <xdr:cNvPr id="3" name="Rectangle: Rounded Corners 2">
          <a:extLst>
            <a:ext uri="{FF2B5EF4-FFF2-40B4-BE49-F238E27FC236}">
              <a16:creationId xmlns:a16="http://schemas.microsoft.com/office/drawing/2014/main" id="{96D216A2-9919-4468-BB22-B3D0EF0C4B8B}"/>
            </a:ext>
          </a:extLst>
        </xdr:cNvPr>
        <xdr:cNvSpPr/>
      </xdr:nvSpPr>
      <xdr:spPr>
        <a:xfrm>
          <a:off x="2941320" y="0"/>
          <a:ext cx="12252961" cy="11079480"/>
        </a:xfrm>
        <a:prstGeom prst="roundRect">
          <a:avLst>
            <a:gd name="adj" fmla="val 1"/>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xdr:colOff>
      <xdr:row>0</xdr:row>
      <xdr:rowOff>91440</xdr:rowOff>
    </xdr:from>
    <xdr:to>
      <xdr:col>24</xdr:col>
      <xdr:colOff>472440</xdr:colOff>
      <xdr:row>4</xdr:row>
      <xdr:rowOff>170793</xdr:rowOff>
    </xdr:to>
    <xdr:sp macro="" textlink="">
      <xdr:nvSpPr>
        <xdr:cNvPr id="4" name="Rectangle 3">
          <a:extLst>
            <a:ext uri="{FF2B5EF4-FFF2-40B4-BE49-F238E27FC236}">
              <a16:creationId xmlns:a16="http://schemas.microsoft.com/office/drawing/2014/main" id="{EE4C5625-3087-4D78-BF2D-002C6744C0A0}"/>
            </a:ext>
          </a:extLst>
        </xdr:cNvPr>
        <xdr:cNvSpPr/>
      </xdr:nvSpPr>
      <xdr:spPr>
        <a:xfrm>
          <a:off x="3047999" y="91440"/>
          <a:ext cx="12054841" cy="810873"/>
        </a:xfrm>
        <a:prstGeom prst="rect">
          <a:avLst/>
        </a:prstGeom>
        <a:solidFill>
          <a:srgbClr val="002060"/>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433552</xdr:colOff>
      <xdr:row>0</xdr:row>
      <xdr:rowOff>157656</xdr:rowOff>
    </xdr:from>
    <xdr:to>
      <xdr:col>22</xdr:col>
      <xdr:colOff>65690</xdr:colOff>
      <xdr:row>4</xdr:row>
      <xdr:rowOff>157656</xdr:rowOff>
    </xdr:to>
    <xdr:sp macro="" textlink="">
      <xdr:nvSpPr>
        <xdr:cNvPr id="5" name="TextBox 4">
          <a:extLst>
            <a:ext uri="{FF2B5EF4-FFF2-40B4-BE49-F238E27FC236}">
              <a16:creationId xmlns:a16="http://schemas.microsoft.com/office/drawing/2014/main" id="{939E0247-DD3A-47F4-94C9-EBD131BF4C25}"/>
            </a:ext>
          </a:extLst>
        </xdr:cNvPr>
        <xdr:cNvSpPr txBox="1"/>
      </xdr:nvSpPr>
      <xdr:spPr>
        <a:xfrm>
          <a:off x="4700752" y="157656"/>
          <a:ext cx="8776138" cy="731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6000">
              <a:solidFill>
                <a:schemeClr val="bg1"/>
              </a:solidFill>
            </a:rPr>
            <a:t>  WEATHER DATA</a:t>
          </a:r>
          <a:r>
            <a:rPr lang="en-IN" sz="6000" baseline="0">
              <a:solidFill>
                <a:schemeClr val="bg1"/>
              </a:solidFill>
            </a:rPr>
            <a:t> ANALYSIS</a:t>
          </a:r>
          <a:endParaRPr lang="en-IN" sz="6000">
            <a:solidFill>
              <a:schemeClr val="bg1"/>
            </a:solidFill>
          </a:endParaRPr>
        </a:p>
      </xdr:txBody>
    </xdr:sp>
    <xdr:clientData/>
  </xdr:twoCellAnchor>
  <xdr:twoCellAnchor>
    <xdr:from>
      <xdr:col>4</xdr:col>
      <xdr:colOff>604344</xdr:colOff>
      <xdr:row>5</xdr:row>
      <xdr:rowOff>157656</xdr:rowOff>
    </xdr:from>
    <xdr:to>
      <xdr:col>9</xdr:col>
      <xdr:colOff>525518</xdr:colOff>
      <xdr:row>11</xdr:row>
      <xdr:rowOff>78829</xdr:rowOff>
    </xdr:to>
    <xdr:sp macro="" textlink="">
      <xdr:nvSpPr>
        <xdr:cNvPr id="6" name="Rectangle: Rounded Corners 5">
          <a:extLst>
            <a:ext uri="{FF2B5EF4-FFF2-40B4-BE49-F238E27FC236}">
              <a16:creationId xmlns:a16="http://schemas.microsoft.com/office/drawing/2014/main" id="{1A6D6F23-3108-419A-9254-422C5DE75A29}"/>
            </a:ext>
          </a:extLst>
        </xdr:cNvPr>
        <xdr:cNvSpPr/>
      </xdr:nvSpPr>
      <xdr:spPr>
        <a:xfrm>
          <a:off x="3042744" y="1072056"/>
          <a:ext cx="2969174" cy="1018453"/>
        </a:xfrm>
        <a:prstGeom prst="roundRect">
          <a:avLst/>
        </a:prstGeom>
        <a:solidFill>
          <a:srgbClr val="FF7DB2"/>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xdr:colOff>
      <xdr:row>5</xdr:row>
      <xdr:rowOff>144518</xdr:rowOff>
    </xdr:from>
    <xdr:to>
      <xdr:col>14</xdr:col>
      <xdr:colOff>486104</xdr:colOff>
      <xdr:row>11</xdr:row>
      <xdr:rowOff>65691</xdr:rowOff>
    </xdr:to>
    <xdr:sp macro="" textlink="">
      <xdr:nvSpPr>
        <xdr:cNvPr id="7" name="Rectangle: Rounded Corners 6">
          <a:extLst>
            <a:ext uri="{FF2B5EF4-FFF2-40B4-BE49-F238E27FC236}">
              <a16:creationId xmlns:a16="http://schemas.microsoft.com/office/drawing/2014/main" id="{24422FB8-6495-48E0-953B-14A653CE6810}"/>
            </a:ext>
          </a:extLst>
        </xdr:cNvPr>
        <xdr:cNvSpPr/>
      </xdr:nvSpPr>
      <xdr:spPr>
        <a:xfrm>
          <a:off x="6096003" y="1058918"/>
          <a:ext cx="2924501" cy="1018453"/>
        </a:xfrm>
        <a:prstGeom prst="roundRect">
          <a:avLst/>
        </a:prstGeom>
        <a:solidFill>
          <a:srgbClr val="C2F4FE"/>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CCFF66"/>
            </a:solidFill>
          </a:endParaRPr>
        </a:p>
      </xdr:txBody>
    </xdr:sp>
    <xdr:clientData/>
  </xdr:twoCellAnchor>
  <xdr:twoCellAnchor>
    <xdr:from>
      <xdr:col>14</xdr:col>
      <xdr:colOff>551796</xdr:colOff>
      <xdr:row>5</xdr:row>
      <xdr:rowOff>144518</xdr:rowOff>
    </xdr:from>
    <xdr:to>
      <xdr:col>19</xdr:col>
      <xdr:colOff>472966</xdr:colOff>
      <xdr:row>11</xdr:row>
      <xdr:rowOff>65691</xdr:rowOff>
    </xdr:to>
    <xdr:sp macro="" textlink="">
      <xdr:nvSpPr>
        <xdr:cNvPr id="8" name="Rectangle: Rounded Corners 7">
          <a:extLst>
            <a:ext uri="{FF2B5EF4-FFF2-40B4-BE49-F238E27FC236}">
              <a16:creationId xmlns:a16="http://schemas.microsoft.com/office/drawing/2014/main" id="{59D6DB87-6E39-406B-A60D-A5CA45C3A905}"/>
            </a:ext>
          </a:extLst>
        </xdr:cNvPr>
        <xdr:cNvSpPr/>
      </xdr:nvSpPr>
      <xdr:spPr>
        <a:xfrm>
          <a:off x="9086196" y="1058918"/>
          <a:ext cx="2969170" cy="1018453"/>
        </a:xfrm>
        <a:prstGeom prst="roundRect">
          <a:avLst/>
        </a:prstGeom>
        <a:solidFill>
          <a:srgbClr val="E4FFAF"/>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FFFF99"/>
            </a:solidFill>
          </a:endParaRPr>
        </a:p>
      </xdr:txBody>
    </xdr:sp>
    <xdr:clientData/>
  </xdr:twoCellAnchor>
  <xdr:twoCellAnchor>
    <xdr:from>
      <xdr:col>19</xdr:col>
      <xdr:colOff>538656</xdr:colOff>
      <xdr:row>5</xdr:row>
      <xdr:rowOff>157656</xdr:rowOff>
    </xdr:from>
    <xdr:to>
      <xdr:col>24</xdr:col>
      <xdr:colOff>433552</xdr:colOff>
      <xdr:row>11</xdr:row>
      <xdr:rowOff>78829</xdr:rowOff>
    </xdr:to>
    <xdr:sp macro="" textlink="">
      <xdr:nvSpPr>
        <xdr:cNvPr id="9" name="Rectangle: Rounded Corners 8">
          <a:extLst>
            <a:ext uri="{FF2B5EF4-FFF2-40B4-BE49-F238E27FC236}">
              <a16:creationId xmlns:a16="http://schemas.microsoft.com/office/drawing/2014/main" id="{11B79484-1FA6-45D4-BCB3-2A1F460EE2A2}"/>
            </a:ext>
          </a:extLst>
        </xdr:cNvPr>
        <xdr:cNvSpPr/>
      </xdr:nvSpPr>
      <xdr:spPr>
        <a:xfrm>
          <a:off x="12121056" y="1072056"/>
          <a:ext cx="2942896" cy="1018453"/>
        </a:xfrm>
        <a:prstGeom prst="roundRect">
          <a:avLst/>
        </a:prstGeom>
        <a:solidFill>
          <a:srgbClr val="FFFFCC"/>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C2F4FE"/>
            </a:solidFill>
          </a:endParaRPr>
        </a:p>
      </xdr:txBody>
    </xdr:sp>
    <xdr:clientData/>
  </xdr:twoCellAnchor>
  <xdr:twoCellAnchor>
    <xdr:from>
      <xdr:col>19</xdr:col>
      <xdr:colOff>324506</xdr:colOff>
      <xdr:row>20</xdr:row>
      <xdr:rowOff>101162</xdr:rowOff>
    </xdr:from>
    <xdr:to>
      <xdr:col>21</xdr:col>
      <xdr:colOff>30217</xdr:colOff>
      <xdr:row>25</xdr:row>
      <xdr:rowOff>95907</xdr:rowOff>
    </xdr:to>
    <xdr:sp macro="" textlink="">
      <xdr:nvSpPr>
        <xdr:cNvPr id="10" name="TextBox 9">
          <a:extLst>
            <a:ext uri="{FF2B5EF4-FFF2-40B4-BE49-F238E27FC236}">
              <a16:creationId xmlns:a16="http://schemas.microsoft.com/office/drawing/2014/main" id="{04A66CFB-9D8A-4BF2-A840-DDA773C0F421}"/>
            </a:ext>
          </a:extLst>
        </xdr:cNvPr>
        <xdr:cNvSpPr txBox="1"/>
      </xdr:nvSpPr>
      <xdr:spPr>
        <a:xfrm>
          <a:off x="11906906" y="3758762"/>
          <a:ext cx="924911" cy="9091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19</xdr:col>
      <xdr:colOff>324506</xdr:colOff>
      <xdr:row>20</xdr:row>
      <xdr:rowOff>101162</xdr:rowOff>
    </xdr:from>
    <xdr:to>
      <xdr:col>21</xdr:col>
      <xdr:colOff>30217</xdr:colOff>
      <xdr:row>25</xdr:row>
      <xdr:rowOff>95907</xdr:rowOff>
    </xdr:to>
    <xdr:sp macro="" textlink="">
      <xdr:nvSpPr>
        <xdr:cNvPr id="11" name="TextBox 10">
          <a:extLst>
            <a:ext uri="{FF2B5EF4-FFF2-40B4-BE49-F238E27FC236}">
              <a16:creationId xmlns:a16="http://schemas.microsoft.com/office/drawing/2014/main" id="{103A63D4-E60E-4C94-8272-2EE7F32E2A98}"/>
            </a:ext>
          </a:extLst>
        </xdr:cNvPr>
        <xdr:cNvSpPr txBox="1"/>
      </xdr:nvSpPr>
      <xdr:spPr>
        <a:xfrm>
          <a:off x="11906906" y="3758762"/>
          <a:ext cx="924911" cy="9091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ln>
              <a:noFill/>
            </a:ln>
            <a:noFill/>
          </a:endParaRPr>
        </a:p>
      </xdr:txBody>
    </xdr:sp>
    <xdr:clientData/>
  </xdr:twoCellAnchor>
  <xdr:oneCellAnchor>
    <xdr:from>
      <xdr:col>31</xdr:col>
      <xdr:colOff>144517</xdr:colOff>
      <xdr:row>25</xdr:row>
      <xdr:rowOff>39414</xdr:rowOff>
    </xdr:from>
    <xdr:ext cx="184731" cy="264560"/>
    <xdr:sp macro="" textlink="">
      <xdr:nvSpPr>
        <xdr:cNvPr id="12" name="TextBox 11">
          <a:extLst>
            <a:ext uri="{FF2B5EF4-FFF2-40B4-BE49-F238E27FC236}">
              <a16:creationId xmlns:a16="http://schemas.microsoft.com/office/drawing/2014/main" id="{E26FAF82-6488-4014-AF8B-4AABE9C868A0}"/>
            </a:ext>
          </a:extLst>
        </xdr:cNvPr>
        <xdr:cNvSpPr txBox="1"/>
      </xdr:nvSpPr>
      <xdr:spPr>
        <a:xfrm>
          <a:off x="19042117" y="461141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19</xdr:col>
      <xdr:colOff>324506</xdr:colOff>
      <xdr:row>20</xdr:row>
      <xdr:rowOff>101162</xdr:rowOff>
    </xdr:from>
    <xdr:to>
      <xdr:col>21</xdr:col>
      <xdr:colOff>30217</xdr:colOff>
      <xdr:row>25</xdr:row>
      <xdr:rowOff>95907</xdr:rowOff>
    </xdr:to>
    <xdr:sp macro="" textlink="">
      <xdr:nvSpPr>
        <xdr:cNvPr id="13" name="TextBox 12">
          <a:extLst>
            <a:ext uri="{FF2B5EF4-FFF2-40B4-BE49-F238E27FC236}">
              <a16:creationId xmlns:a16="http://schemas.microsoft.com/office/drawing/2014/main" id="{F94868FC-F576-49AB-8A3F-F1CB2A76E02D}"/>
            </a:ext>
          </a:extLst>
        </xdr:cNvPr>
        <xdr:cNvSpPr txBox="1"/>
      </xdr:nvSpPr>
      <xdr:spPr>
        <a:xfrm>
          <a:off x="11906906" y="3758762"/>
          <a:ext cx="924911" cy="9091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oneCellAnchor>
    <xdr:from>
      <xdr:col>28</xdr:col>
      <xdr:colOff>236483</xdr:colOff>
      <xdr:row>34</xdr:row>
      <xdr:rowOff>0</xdr:rowOff>
    </xdr:from>
    <xdr:ext cx="184731" cy="264560"/>
    <xdr:sp macro="" textlink="">
      <xdr:nvSpPr>
        <xdr:cNvPr id="14" name="TextBox 13">
          <a:extLst>
            <a:ext uri="{FF2B5EF4-FFF2-40B4-BE49-F238E27FC236}">
              <a16:creationId xmlns:a16="http://schemas.microsoft.com/office/drawing/2014/main" id="{260CFDB1-DB62-45B2-8D62-4969607C5833}"/>
            </a:ext>
          </a:extLst>
        </xdr:cNvPr>
        <xdr:cNvSpPr txBox="1"/>
      </xdr:nvSpPr>
      <xdr:spPr>
        <a:xfrm>
          <a:off x="17305283" y="62179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5</xdr:col>
      <xdr:colOff>275897</xdr:colOff>
      <xdr:row>5</xdr:row>
      <xdr:rowOff>157655</xdr:rowOff>
    </xdr:from>
    <xdr:to>
      <xdr:col>9</xdr:col>
      <xdr:colOff>486104</xdr:colOff>
      <xdr:row>8</xdr:row>
      <xdr:rowOff>157655</xdr:rowOff>
    </xdr:to>
    <xdr:sp macro="" textlink="">
      <xdr:nvSpPr>
        <xdr:cNvPr id="15" name="TextBox 14">
          <a:extLst>
            <a:ext uri="{FF2B5EF4-FFF2-40B4-BE49-F238E27FC236}">
              <a16:creationId xmlns:a16="http://schemas.microsoft.com/office/drawing/2014/main" id="{EEF69669-D4D6-42AD-8244-9CB2D6063B1F}"/>
            </a:ext>
          </a:extLst>
        </xdr:cNvPr>
        <xdr:cNvSpPr txBox="1"/>
      </xdr:nvSpPr>
      <xdr:spPr>
        <a:xfrm>
          <a:off x="3323897" y="1072055"/>
          <a:ext cx="2648607"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t>Avg Temperature</a:t>
          </a:r>
        </a:p>
      </xdr:txBody>
    </xdr:sp>
    <xdr:clientData/>
  </xdr:twoCellAnchor>
  <xdr:twoCellAnchor>
    <xdr:from>
      <xdr:col>19</xdr:col>
      <xdr:colOff>324506</xdr:colOff>
      <xdr:row>20</xdr:row>
      <xdr:rowOff>101162</xdr:rowOff>
    </xdr:from>
    <xdr:to>
      <xdr:col>21</xdr:col>
      <xdr:colOff>30217</xdr:colOff>
      <xdr:row>25</xdr:row>
      <xdr:rowOff>95907</xdr:rowOff>
    </xdr:to>
    <xdr:sp macro="" textlink="">
      <xdr:nvSpPr>
        <xdr:cNvPr id="16" name="TextBox 15">
          <a:extLst>
            <a:ext uri="{FF2B5EF4-FFF2-40B4-BE49-F238E27FC236}">
              <a16:creationId xmlns:a16="http://schemas.microsoft.com/office/drawing/2014/main" id="{0E098F1F-BD75-4946-84EF-A9338760430E}"/>
            </a:ext>
          </a:extLst>
        </xdr:cNvPr>
        <xdr:cNvSpPr txBox="1"/>
      </xdr:nvSpPr>
      <xdr:spPr>
        <a:xfrm>
          <a:off x="11906906" y="3758762"/>
          <a:ext cx="924911" cy="9091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oneCellAnchor>
    <xdr:from>
      <xdr:col>27</xdr:col>
      <xdr:colOff>236483</xdr:colOff>
      <xdr:row>31</xdr:row>
      <xdr:rowOff>52552</xdr:rowOff>
    </xdr:from>
    <xdr:ext cx="184731" cy="264560"/>
    <xdr:sp macro="" textlink="">
      <xdr:nvSpPr>
        <xdr:cNvPr id="17" name="TextBox 16">
          <a:extLst>
            <a:ext uri="{FF2B5EF4-FFF2-40B4-BE49-F238E27FC236}">
              <a16:creationId xmlns:a16="http://schemas.microsoft.com/office/drawing/2014/main" id="{724860A0-DB69-49E7-93A6-19FC11DE1BD3}"/>
            </a:ext>
          </a:extLst>
        </xdr:cNvPr>
        <xdr:cNvSpPr txBox="1"/>
      </xdr:nvSpPr>
      <xdr:spPr>
        <a:xfrm>
          <a:off x="16695683" y="572183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10</xdr:col>
      <xdr:colOff>197071</xdr:colOff>
      <xdr:row>5</xdr:row>
      <xdr:rowOff>157655</xdr:rowOff>
    </xdr:from>
    <xdr:to>
      <xdr:col>14</xdr:col>
      <xdr:colOff>302173</xdr:colOff>
      <xdr:row>8</xdr:row>
      <xdr:rowOff>105104</xdr:rowOff>
    </xdr:to>
    <xdr:sp macro="" textlink="">
      <xdr:nvSpPr>
        <xdr:cNvPr id="18" name="TextBox 17">
          <a:extLst>
            <a:ext uri="{FF2B5EF4-FFF2-40B4-BE49-F238E27FC236}">
              <a16:creationId xmlns:a16="http://schemas.microsoft.com/office/drawing/2014/main" id="{FA0CF655-01C7-4409-856B-544EC7B7AB44}"/>
            </a:ext>
          </a:extLst>
        </xdr:cNvPr>
        <xdr:cNvSpPr txBox="1"/>
      </xdr:nvSpPr>
      <xdr:spPr>
        <a:xfrm>
          <a:off x="6293071" y="1072055"/>
          <a:ext cx="2543502" cy="4960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t>Avg Humidity</a:t>
          </a:r>
        </a:p>
      </xdr:txBody>
    </xdr:sp>
    <xdr:clientData/>
  </xdr:twoCellAnchor>
  <xdr:twoCellAnchor>
    <xdr:from>
      <xdr:col>19</xdr:col>
      <xdr:colOff>324506</xdr:colOff>
      <xdr:row>20</xdr:row>
      <xdr:rowOff>101162</xdr:rowOff>
    </xdr:from>
    <xdr:to>
      <xdr:col>21</xdr:col>
      <xdr:colOff>30217</xdr:colOff>
      <xdr:row>25</xdr:row>
      <xdr:rowOff>95907</xdr:rowOff>
    </xdr:to>
    <xdr:sp macro="" textlink="">
      <xdr:nvSpPr>
        <xdr:cNvPr id="19" name="TextBox 18">
          <a:extLst>
            <a:ext uri="{FF2B5EF4-FFF2-40B4-BE49-F238E27FC236}">
              <a16:creationId xmlns:a16="http://schemas.microsoft.com/office/drawing/2014/main" id="{C1D4C1CC-8759-434E-9E10-E70362A1DC76}"/>
            </a:ext>
          </a:extLst>
        </xdr:cNvPr>
        <xdr:cNvSpPr txBox="1"/>
      </xdr:nvSpPr>
      <xdr:spPr>
        <a:xfrm>
          <a:off x="11906906" y="3758762"/>
          <a:ext cx="924911" cy="9091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oneCellAnchor>
    <xdr:from>
      <xdr:col>28</xdr:col>
      <xdr:colOff>249621</xdr:colOff>
      <xdr:row>24</xdr:row>
      <xdr:rowOff>65689</xdr:rowOff>
    </xdr:from>
    <xdr:ext cx="184731" cy="264560"/>
    <xdr:sp macro="" textlink="">
      <xdr:nvSpPr>
        <xdr:cNvPr id="20" name="TextBox 19">
          <a:extLst>
            <a:ext uri="{FF2B5EF4-FFF2-40B4-BE49-F238E27FC236}">
              <a16:creationId xmlns:a16="http://schemas.microsoft.com/office/drawing/2014/main" id="{CC298547-8D9B-4904-B62B-E13760CF3D4B}"/>
            </a:ext>
          </a:extLst>
        </xdr:cNvPr>
        <xdr:cNvSpPr txBox="1"/>
      </xdr:nvSpPr>
      <xdr:spPr>
        <a:xfrm>
          <a:off x="17318421" y="445480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15</xdr:col>
      <xdr:colOff>65690</xdr:colOff>
      <xdr:row>5</xdr:row>
      <xdr:rowOff>91966</xdr:rowOff>
    </xdr:from>
    <xdr:to>
      <xdr:col>19</xdr:col>
      <xdr:colOff>420414</xdr:colOff>
      <xdr:row>9</xdr:row>
      <xdr:rowOff>1</xdr:rowOff>
    </xdr:to>
    <xdr:sp macro="" textlink="">
      <xdr:nvSpPr>
        <xdr:cNvPr id="21" name="TextBox 20">
          <a:extLst>
            <a:ext uri="{FF2B5EF4-FFF2-40B4-BE49-F238E27FC236}">
              <a16:creationId xmlns:a16="http://schemas.microsoft.com/office/drawing/2014/main" id="{7DB58F9B-9349-46FD-A1E0-C30AA7203C81}"/>
            </a:ext>
          </a:extLst>
        </xdr:cNvPr>
        <xdr:cNvSpPr txBox="1"/>
      </xdr:nvSpPr>
      <xdr:spPr>
        <a:xfrm>
          <a:off x="9209690" y="1006366"/>
          <a:ext cx="2793124" cy="6395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t>Total Rainfall</a:t>
          </a:r>
        </a:p>
      </xdr:txBody>
    </xdr:sp>
    <xdr:clientData/>
  </xdr:twoCellAnchor>
  <xdr:twoCellAnchor>
    <xdr:from>
      <xdr:col>20</xdr:col>
      <xdr:colOff>183930</xdr:colOff>
      <xdr:row>6</xdr:row>
      <xdr:rowOff>13138</xdr:rowOff>
    </xdr:from>
    <xdr:to>
      <xdr:col>24</xdr:col>
      <xdr:colOff>236482</xdr:colOff>
      <xdr:row>8</xdr:row>
      <xdr:rowOff>91966</xdr:rowOff>
    </xdr:to>
    <xdr:sp macro="" textlink="">
      <xdr:nvSpPr>
        <xdr:cNvPr id="22" name="TextBox 21">
          <a:extLst>
            <a:ext uri="{FF2B5EF4-FFF2-40B4-BE49-F238E27FC236}">
              <a16:creationId xmlns:a16="http://schemas.microsoft.com/office/drawing/2014/main" id="{1ACDA0B0-273D-45FD-8B67-AE8F8D470FCC}"/>
            </a:ext>
          </a:extLst>
        </xdr:cNvPr>
        <xdr:cNvSpPr txBox="1"/>
      </xdr:nvSpPr>
      <xdr:spPr>
        <a:xfrm>
          <a:off x="12375930" y="1110418"/>
          <a:ext cx="2490952" cy="444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t>Avg Wind Speed</a:t>
          </a:r>
        </a:p>
      </xdr:txBody>
    </xdr:sp>
    <xdr:clientData/>
  </xdr:twoCellAnchor>
  <xdr:twoCellAnchor>
    <xdr:from>
      <xdr:col>19</xdr:col>
      <xdr:colOff>324506</xdr:colOff>
      <xdr:row>20</xdr:row>
      <xdr:rowOff>101162</xdr:rowOff>
    </xdr:from>
    <xdr:to>
      <xdr:col>21</xdr:col>
      <xdr:colOff>30217</xdr:colOff>
      <xdr:row>25</xdr:row>
      <xdr:rowOff>95907</xdr:rowOff>
    </xdr:to>
    <xdr:sp macro="" textlink="">
      <xdr:nvSpPr>
        <xdr:cNvPr id="23" name="TextBox 22">
          <a:extLst>
            <a:ext uri="{FF2B5EF4-FFF2-40B4-BE49-F238E27FC236}">
              <a16:creationId xmlns:a16="http://schemas.microsoft.com/office/drawing/2014/main" id="{A87365A8-32F5-4F2B-9338-4BD5D93CB93E}"/>
            </a:ext>
          </a:extLst>
        </xdr:cNvPr>
        <xdr:cNvSpPr txBox="1"/>
      </xdr:nvSpPr>
      <xdr:spPr>
        <a:xfrm>
          <a:off x="11906906" y="3758762"/>
          <a:ext cx="924911" cy="9091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oneCellAnchor>
    <xdr:from>
      <xdr:col>29</xdr:col>
      <xdr:colOff>262759</xdr:colOff>
      <xdr:row>33</xdr:row>
      <xdr:rowOff>91966</xdr:rowOff>
    </xdr:from>
    <xdr:ext cx="184731" cy="264560"/>
    <xdr:sp macro="" textlink="">
      <xdr:nvSpPr>
        <xdr:cNvPr id="24" name="TextBox 23">
          <a:extLst>
            <a:ext uri="{FF2B5EF4-FFF2-40B4-BE49-F238E27FC236}">
              <a16:creationId xmlns:a16="http://schemas.microsoft.com/office/drawing/2014/main" id="{F4333D80-B944-4CB7-AEA2-7AE31BFDC0F5}"/>
            </a:ext>
          </a:extLst>
        </xdr:cNvPr>
        <xdr:cNvSpPr txBox="1"/>
      </xdr:nvSpPr>
      <xdr:spPr>
        <a:xfrm>
          <a:off x="17941159" y="612700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5</xdr:col>
      <xdr:colOff>91440</xdr:colOff>
      <xdr:row>23</xdr:row>
      <xdr:rowOff>137160</xdr:rowOff>
    </xdr:from>
    <xdr:to>
      <xdr:col>15</xdr:col>
      <xdr:colOff>259080</xdr:colOff>
      <xdr:row>59</xdr:row>
      <xdr:rowOff>167640</xdr:rowOff>
    </xdr:to>
    <xdr:sp macro="" textlink="">
      <xdr:nvSpPr>
        <xdr:cNvPr id="26" name="Rectangle 25">
          <a:extLst>
            <a:ext uri="{FF2B5EF4-FFF2-40B4-BE49-F238E27FC236}">
              <a16:creationId xmlns:a16="http://schemas.microsoft.com/office/drawing/2014/main" id="{507C373E-446E-43E4-AF01-6FCF1805DDF8}"/>
            </a:ext>
          </a:extLst>
        </xdr:cNvPr>
        <xdr:cNvSpPr/>
      </xdr:nvSpPr>
      <xdr:spPr>
        <a:xfrm>
          <a:off x="3139440" y="4343400"/>
          <a:ext cx="6263640" cy="6614160"/>
        </a:xfrm>
        <a:prstGeom prst="rect">
          <a:avLst/>
        </a:prstGeom>
        <a:solidFill>
          <a:schemeClr val="bg1"/>
        </a:solid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5</xdr:col>
      <xdr:colOff>41514</xdr:colOff>
      <xdr:row>11</xdr:row>
      <xdr:rowOff>172895</xdr:rowOff>
    </xdr:from>
    <xdr:to>
      <xdr:col>24</xdr:col>
      <xdr:colOff>472440</xdr:colOff>
      <xdr:row>16</xdr:row>
      <xdr:rowOff>3153</xdr:rowOff>
    </xdr:to>
    <mc:AlternateContent xmlns:mc="http://schemas.openxmlformats.org/markup-compatibility/2006" xmlns:a14="http://schemas.microsoft.com/office/drawing/2010/main">
      <mc:Choice Requires="a14">
        <xdr:graphicFrame macro="">
          <xdr:nvGraphicFramePr>
            <xdr:cNvPr id="29" name="Month 5">
              <a:extLst>
                <a:ext uri="{FF2B5EF4-FFF2-40B4-BE49-F238E27FC236}">
                  <a16:creationId xmlns:a16="http://schemas.microsoft.com/office/drawing/2014/main" id="{99C17387-1F3E-49A0-811F-8B4AA9633D86}"/>
                </a:ext>
              </a:extLst>
            </xdr:cNvPr>
            <xdr:cNvGraphicFramePr/>
          </xdr:nvGraphicFramePr>
          <xdr:xfrm>
            <a:off x="0" y="0"/>
            <a:ext cx="0" cy="0"/>
          </xdr:xfrm>
          <a:graphic>
            <a:graphicData uri="http://schemas.microsoft.com/office/drawing/2010/slicer">
              <sle:slicer xmlns:sle="http://schemas.microsoft.com/office/drawing/2010/slicer" name="Month 5"/>
            </a:graphicData>
          </a:graphic>
        </xdr:graphicFrame>
      </mc:Choice>
      <mc:Fallback xmlns="">
        <xdr:sp macro="" textlink="">
          <xdr:nvSpPr>
            <xdr:cNvPr id="0" name=""/>
            <xdr:cNvSpPr>
              <a:spLocks noTextEdit="1"/>
            </xdr:cNvSpPr>
          </xdr:nvSpPr>
          <xdr:spPr>
            <a:xfrm>
              <a:off x="3089514" y="2184575"/>
              <a:ext cx="12013326" cy="7446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591207</xdr:colOff>
      <xdr:row>23</xdr:row>
      <xdr:rowOff>26277</xdr:rowOff>
    </xdr:from>
    <xdr:to>
      <xdr:col>11</xdr:col>
      <xdr:colOff>381000</xdr:colOff>
      <xdr:row>26</xdr:row>
      <xdr:rowOff>170794</xdr:rowOff>
    </xdr:to>
    <xdr:sp macro="" textlink="">
      <xdr:nvSpPr>
        <xdr:cNvPr id="30" name="Rectangle 29">
          <a:extLst>
            <a:ext uri="{FF2B5EF4-FFF2-40B4-BE49-F238E27FC236}">
              <a16:creationId xmlns:a16="http://schemas.microsoft.com/office/drawing/2014/main" id="{A1CD9B1E-4D2F-45F2-BB9F-33BCBD27A5DE}"/>
            </a:ext>
          </a:extLst>
        </xdr:cNvPr>
        <xdr:cNvSpPr/>
      </xdr:nvSpPr>
      <xdr:spPr>
        <a:xfrm>
          <a:off x="3029607" y="4232517"/>
          <a:ext cx="4056993" cy="693157"/>
        </a:xfrm>
        <a:prstGeom prst="rect">
          <a:avLst/>
        </a:prstGeom>
        <a:noFill/>
        <a:ln w="952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131381</xdr:colOff>
      <xdr:row>23</xdr:row>
      <xdr:rowOff>65689</xdr:rowOff>
    </xdr:from>
    <xdr:to>
      <xdr:col>11</xdr:col>
      <xdr:colOff>275897</xdr:colOff>
      <xdr:row>26</xdr:row>
      <xdr:rowOff>118243</xdr:rowOff>
    </xdr:to>
    <xdr:sp macro="" textlink="">
      <xdr:nvSpPr>
        <xdr:cNvPr id="31" name="TextBox 30">
          <a:extLst>
            <a:ext uri="{FF2B5EF4-FFF2-40B4-BE49-F238E27FC236}">
              <a16:creationId xmlns:a16="http://schemas.microsoft.com/office/drawing/2014/main" id="{CBDDB9A4-789C-4C1A-97AA-7E0E3835FC30}"/>
            </a:ext>
          </a:extLst>
        </xdr:cNvPr>
        <xdr:cNvSpPr txBox="1"/>
      </xdr:nvSpPr>
      <xdr:spPr>
        <a:xfrm>
          <a:off x="3179381" y="4271929"/>
          <a:ext cx="3802116" cy="6011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2000" b="1" i="1">
            <a:solidFill>
              <a:sysClr val="windowText" lastClr="000000"/>
            </a:solidFill>
          </a:endParaRPr>
        </a:p>
      </xdr:txBody>
    </xdr:sp>
    <xdr:clientData/>
  </xdr:twoCellAnchor>
  <xdr:twoCellAnchor editAs="oneCell">
    <xdr:from>
      <xdr:col>5</xdr:col>
      <xdr:colOff>39415</xdr:colOff>
      <xdr:row>16</xdr:row>
      <xdr:rowOff>67791</xdr:rowOff>
    </xdr:from>
    <xdr:to>
      <xdr:col>19</xdr:col>
      <xdr:colOff>249621</xdr:colOff>
      <xdr:row>22</xdr:row>
      <xdr:rowOff>172895</xdr:rowOff>
    </xdr:to>
    <mc:AlternateContent xmlns:mc="http://schemas.openxmlformats.org/markup-compatibility/2006" xmlns:a14="http://schemas.microsoft.com/office/drawing/2010/main">
      <mc:Choice Requires="a14">
        <xdr:graphicFrame macro="">
          <xdr:nvGraphicFramePr>
            <xdr:cNvPr id="32" name="State 3">
              <a:extLst>
                <a:ext uri="{FF2B5EF4-FFF2-40B4-BE49-F238E27FC236}">
                  <a16:creationId xmlns:a16="http://schemas.microsoft.com/office/drawing/2014/main" id="{C53D0905-96FF-4178-AFC6-FF49D5F73CB1}"/>
                </a:ext>
              </a:extLst>
            </xdr:cNvPr>
            <xdr:cNvGraphicFramePr/>
          </xdr:nvGraphicFramePr>
          <xdr:xfrm>
            <a:off x="0" y="0"/>
            <a:ext cx="0" cy="0"/>
          </xdr:xfrm>
          <a:graphic>
            <a:graphicData uri="http://schemas.microsoft.com/office/drawing/2010/slicer">
              <sle:slicer xmlns:sle="http://schemas.microsoft.com/office/drawing/2010/slicer" name="State 3"/>
            </a:graphicData>
          </a:graphic>
        </xdr:graphicFrame>
      </mc:Choice>
      <mc:Fallback xmlns="">
        <xdr:sp macro="" textlink="">
          <xdr:nvSpPr>
            <xdr:cNvPr id="0" name=""/>
            <xdr:cNvSpPr>
              <a:spLocks noTextEdit="1"/>
            </xdr:cNvSpPr>
          </xdr:nvSpPr>
          <xdr:spPr>
            <a:xfrm>
              <a:off x="3087415" y="2993871"/>
              <a:ext cx="8744606" cy="12023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91440</xdr:colOff>
      <xdr:row>23</xdr:row>
      <xdr:rowOff>152401</xdr:rowOff>
    </xdr:from>
    <xdr:to>
      <xdr:col>15</xdr:col>
      <xdr:colOff>259080</xdr:colOff>
      <xdr:row>28</xdr:row>
      <xdr:rowOff>155555</xdr:rowOff>
    </xdr:to>
    <xdr:sp macro="" textlink="">
      <xdr:nvSpPr>
        <xdr:cNvPr id="33" name="Rectangle 32">
          <a:extLst>
            <a:ext uri="{FF2B5EF4-FFF2-40B4-BE49-F238E27FC236}">
              <a16:creationId xmlns:a16="http://schemas.microsoft.com/office/drawing/2014/main" id="{B25F5680-F007-44E4-B0F3-3E2EF085E0DD}"/>
            </a:ext>
          </a:extLst>
        </xdr:cNvPr>
        <xdr:cNvSpPr/>
      </xdr:nvSpPr>
      <xdr:spPr>
        <a:xfrm>
          <a:off x="3139440" y="4358641"/>
          <a:ext cx="6263640" cy="917554"/>
        </a:xfrm>
        <a:prstGeom prst="rect">
          <a:avLst/>
        </a:prstGeom>
        <a:solidFill>
          <a:srgbClr val="4CC073"/>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564931</xdr:colOff>
      <xdr:row>23</xdr:row>
      <xdr:rowOff>157656</xdr:rowOff>
    </xdr:from>
    <xdr:to>
      <xdr:col>18</xdr:col>
      <xdr:colOff>13138</xdr:colOff>
      <xdr:row>26</xdr:row>
      <xdr:rowOff>118241</xdr:rowOff>
    </xdr:to>
    <xdr:sp macro="" textlink="">
      <xdr:nvSpPr>
        <xdr:cNvPr id="34" name="TextBox 33">
          <a:extLst>
            <a:ext uri="{FF2B5EF4-FFF2-40B4-BE49-F238E27FC236}">
              <a16:creationId xmlns:a16="http://schemas.microsoft.com/office/drawing/2014/main" id="{0FD33437-BD76-46C8-84C6-1C72D1C0E50C}"/>
            </a:ext>
          </a:extLst>
        </xdr:cNvPr>
        <xdr:cNvSpPr txBox="1"/>
      </xdr:nvSpPr>
      <xdr:spPr>
        <a:xfrm>
          <a:off x="7270531" y="4363896"/>
          <a:ext cx="3715407" cy="509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2000" b="1" i="1"/>
        </a:p>
      </xdr:txBody>
    </xdr:sp>
    <xdr:clientData/>
  </xdr:twoCellAnchor>
  <xdr:twoCellAnchor>
    <xdr:from>
      <xdr:col>5</xdr:col>
      <xdr:colOff>426720</xdr:colOff>
      <xdr:row>31</xdr:row>
      <xdr:rowOff>30480</xdr:rowOff>
    </xdr:from>
    <xdr:to>
      <xdr:col>15</xdr:col>
      <xdr:colOff>152400</xdr:colOff>
      <xdr:row>58</xdr:row>
      <xdr:rowOff>106680</xdr:rowOff>
    </xdr:to>
    <xdr:graphicFrame macro="">
      <xdr:nvGraphicFramePr>
        <xdr:cNvPr id="35" name="Chart 34">
          <a:extLst>
            <a:ext uri="{FF2B5EF4-FFF2-40B4-BE49-F238E27FC236}">
              <a16:creationId xmlns:a16="http://schemas.microsoft.com/office/drawing/2014/main" id="{A04A00A1-1B01-4880-A2C8-596B15232E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157655</xdr:colOff>
      <xdr:row>23</xdr:row>
      <xdr:rowOff>65689</xdr:rowOff>
    </xdr:from>
    <xdr:to>
      <xdr:col>24</xdr:col>
      <xdr:colOff>459827</xdr:colOff>
      <xdr:row>27</xdr:row>
      <xdr:rowOff>13138</xdr:rowOff>
    </xdr:to>
    <xdr:sp macro="" textlink="">
      <xdr:nvSpPr>
        <xdr:cNvPr id="40" name="Rectangle 39">
          <a:extLst>
            <a:ext uri="{FF2B5EF4-FFF2-40B4-BE49-F238E27FC236}">
              <a16:creationId xmlns:a16="http://schemas.microsoft.com/office/drawing/2014/main" id="{1B255F15-3648-4CBE-ADEE-B17CC1F228F8}"/>
            </a:ext>
          </a:extLst>
        </xdr:cNvPr>
        <xdr:cNvSpPr/>
      </xdr:nvSpPr>
      <xdr:spPr>
        <a:xfrm>
          <a:off x="11130455" y="4271929"/>
          <a:ext cx="3959772" cy="67896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210207</xdr:colOff>
      <xdr:row>24</xdr:row>
      <xdr:rowOff>13138</xdr:rowOff>
    </xdr:from>
    <xdr:to>
      <xdr:col>24</xdr:col>
      <xdr:colOff>420414</xdr:colOff>
      <xdr:row>26</xdr:row>
      <xdr:rowOff>91965</xdr:rowOff>
    </xdr:to>
    <xdr:sp macro="" textlink="">
      <xdr:nvSpPr>
        <xdr:cNvPr id="41" name="TextBox 40">
          <a:extLst>
            <a:ext uri="{FF2B5EF4-FFF2-40B4-BE49-F238E27FC236}">
              <a16:creationId xmlns:a16="http://schemas.microsoft.com/office/drawing/2014/main" id="{2B0C15C3-D936-46AB-8AF5-44205BBFF918}"/>
            </a:ext>
          </a:extLst>
        </xdr:cNvPr>
        <xdr:cNvSpPr txBox="1"/>
      </xdr:nvSpPr>
      <xdr:spPr>
        <a:xfrm>
          <a:off x="11183007" y="4402258"/>
          <a:ext cx="3867807" cy="4445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2000" b="1" i="1"/>
        </a:p>
      </xdr:txBody>
    </xdr:sp>
    <xdr:clientData/>
  </xdr:twoCellAnchor>
  <xdr:twoCellAnchor editAs="oneCell">
    <xdr:from>
      <xdr:col>19</xdr:col>
      <xdr:colOff>315312</xdr:colOff>
      <xdr:row>16</xdr:row>
      <xdr:rowOff>65685</xdr:rowOff>
    </xdr:from>
    <xdr:to>
      <xdr:col>24</xdr:col>
      <xdr:colOff>487680</xdr:colOff>
      <xdr:row>22</xdr:row>
      <xdr:rowOff>131379</xdr:rowOff>
    </xdr:to>
    <mc:AlternateContent xmlns:mc="http://schemas.openxmlformats.org/markup-compatibility/2006" xmlns:a14="http://schemas.microsoft.com/office/drawing/2010/main">
      <mc:Choice Requires="a14">
        <xdr:graphicFrame macro="">
          <xdr:nvGraphicFramePr>
            <xdr:cNvPr id="42" name="Season 3">
              <a:extLst>
                <a:ext uri="{FF2B5EF4-FFF2-40B4-BE49-F238E27FC236}">
                  <a16:creationId xmlns:a16="http://schemas.microsoft.com/office/drawing/2014/main" id="{69A0FB36-AF55-4021-979B-9491FC2EB87F}"/>
                </a:ext>
              </a:extLst>
            </xdr:cNvPr>
            <xdr:cNvGraphicFramePr/>
          </xdr:nvGraphicFramePr>
          <xdr:xfrm>
            <a:off x="0" y="0"/>
            <a:ext cx="0" cy="0"/>
          </xdr:xfrm>
          <a:graphic>
            <a:graphicData uri="http://schemas.microsoft.com/office/drawing/2010/slicer">
              <sle:slicer xmlns:sle="http://schemas.microsoft.com/office/drawing/2010/slicer" name="Season 3"/>
            </a:graphicData>
          </a:graphic>
        </xdr:graphicFrame>
      </mc:Choice>
      <mc:Fallback xmlns="">
        <xdr:sp macro="" textlink="">
          <xdr:nvSpPr>
            <xdr:cNvPr id="0" name=""/>
            <xdr:cNvSpPr>
              <a:spLocks noTextEdit="1"/>
            </xdr:cNvSpPr>
          </xdr:nvSpPr>
          <xdr:spPr>
            <a:xfrm>
              <a:off x="11897712" y="2991765"/>
              <a:ext cx="3220368" cy="11629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13137</xdr:colOff>
      <xdr:row>41</xdr:row>
      <xdr:rowOff>131381</xdr:rowOff>
    </xdr:from>
    <xdr:to>
      <xdr:col>11</xdr:col>
      <xdr:colOff>380999</xdr:colOff>
      <xdr:row>45</xdr:row>
      <xdr:rowOff>78829</xdr:rowOff>
    </xdr:to>
    <xdr:sp macro="" textlink="">
      <xdr:nvSpPr>
        <xdr:cNvPr id="43" name="Rectangle 42">
          <a:extLst>
            <a:ext uri="{FF2B5EF4-FFF2-40B4-BE49-F238E27FC236}">
              <a16:creationId xmlns:a16="http://schemas.microsoft.com/office/drawing/2014/main" id="{52E844C4-AF3A-4D41-BEB7-1527C4E42E64}"/>
            </a:ext>
          </a:extLst>
        </xdr:cNvPr>
        <xdr:cNvSpPr/>
      </xdr:nvSpPr>
      <xdr:spPr>
        <a:xfrm>
          <a:off x="3061137" y="7629461"/>
          <a:ext cx="4025462" cy="67896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78828</xdr:colOff>
      <xdr:row>42</xdr:row>
      <xdr:rowOff>78829</xdr:rowOff>
    </xdr:from>
    <xdr:to>
      <xdr:col>11</xdr:col>
      <xdr:colOff>236483</xdr:colOff>
      <xdr:row>44</xdr:row>
      <xdr:rowOff>144518</xdr:rowOff>
    </xdr:to>
    <xdr:sp macro="" textlink="">
      <xdr:nvSpPr>
        <xdr:cNvPr id="44" name="TextBox 43">
          <a:extLst>
            <a:ext uri="{FF2B5EF4-FFF2-40B4-BE49-F238E27FC236}">
              <a16:creationId xmlns:a16="http://schemas.microsoft.com/office/drawing/2014/main" id="{50D278F3-8F38-4257-BC10-945DBA76BB9F}"/>
            </a:ext>
          </a:extLst>
        </xdr:cNvPr>
        <xdr:cNvSpPr txBox="1"/>
      </xdr:nvSpPr>
      <xdr:spPr>
        <a:xfrm>
          <a:off x="3126828" y="7759789"/>
          <a:ext cx="3815255" cy="4314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endParaRPr lang="en-IN" sz="1100"/>
        </a:p>
      </xdr:txBody>
    </xdr:sp>
    <xdr:clientData/>
  </xdr:twoCellAnchor>
  <xdr:twoCellAnchor>
    <xdr:from>
      <xdr:col>11</xdr:col>
      <xdr:colOff>446688</xdr:colOff>
      <xdr:row>41</xdr:row>
      <xdr:rowOff>131382</xdr:rowOff>
    </xdr:from>
    <xdr:to>
      <xdr:col>18</xdr:col>
      <xdr:colOff>144517</xdr:colOff>
      <xdr:row>45</xdr:row>
      <xdr:rowOff>78830</xdr:rowOff>
    </xdr:to>
    <xdr:sp macro="" textlink="">
      <xdr:nvSpPr>
        <xdr:cNvPr id="46" name="Rectangle 45">
          <a:extLst>
            <a:ext uri="{FF2B5EF4-FFF2-40B4-BE49-F238E27FC236}">
              <a16:creationId xmlns:a16="http://schemas.microsoft.com/office/drawing/2014/main" id="{0B6B01BD-F1FE-4BD1-B72E-2DBF372F846A}"/>
            </a:ext>
          </a:extLst>
        </xdr:cNvPr>
        <xdr:cNvSpPr/>
      </xdr:nvSpPr>
      <xdr:spPr>
        <a:xfrm>
          <a:off x="7152288" y="7629462"/>
          <a:ext cx="3965029" cy="67896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525517</xdr:colOff>
      <xdr:row>42</xdr:row>
      <xdr:rowOff>39414</xdr:rowOff>
    </xdr:from>
    <xdr:to>
      <xdr:col>18</xdr:col>
      <xdr:colOff>78827</xdr:colOff>
      <xdr:row>44</xdr:row>
      <xdr:rowOff>131380</xdr:rowOff>
    </xdr:to>
    <xdr:sp macro="" textlink="">
      <xdr:nvSpPr>
        <xdr:cNvPr id="47" name="TextBox 46">
          <a:extLst>
            <a:ext uri="{FF2B5EF4-FFF2-40B4-BE49-F238E27FC236}">
              <a16:creationId xmlns:a16="http://schemas.microsoft.com/office/drawing/2014/main" id="{F7879E10-048F-47C9-8A1F-6479B2DF82D8}"/>
            </a:ext>
          </a:extLst>
        </xdr:cNvPr>
        <xdr:cNvSpPr txBox="1"/>
      </xdr:nvSpPr>
      <xdr:spPr>
        <a:xfrm>
          <a:off x="7231117" y="7720374"/>
          <a:ext cx="3820510" cy="4577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800" b="1" i="1"/>
        </a:p>
      </xdr:txBody>
    </xdr:sp>
    <xdr:clientData/>
  </xdr:twoCellAnchor>
  <xdr:twoCellAnchor>
    <xdr:from>
      <xdr:col>18</xdr:col>
      <xdr:colOff>183930</xdr:colOff>
      <xdr:row>41</xdr:row>
      <xdr:rowOff>131381</xdr:rowOff>
    </xdr:from>
    <xdr:to>
      <xdr:col>24</xdr:col>
      <xdr:colOff>486104</xdr:colOff>
      <xdr:row>45</xdr:row>
      <xdr:rowOff>78829</xdr:rowOff>
    </xdr:to>
    <xdr:sp macro="" textlink="">
      <xdr:nvSpPr>
        <xdr:cNvPr id="49" name="Rectangle 48">
          <a:extLst>
            <a:ext uri="{FF2B5EF4-FFF2-40B4-BE49-F238E27FC236}">
              <a16:creationId xmlns:a16="http://schemas.microsoft.com/office/drawing/2014/main" id="{13F39F0E-078D-4F09-8666-D35E726FCB48}"/>
            </a:ext>
          </a:extLst>
        </xdr:cNvPr>
        <xdr:cNvSpPr/>
      </xdr:nvSpPr>
      <xdr:spPr>
        <a:xfrm>
          <a:off x="11156730" y="7629461"/>
          <a:ext cx="3959774" cy="67896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324506</xdr:colOff>
      <xdr:row>35</xdr:row>
      <xdr:rowOff>74886</xdr:rowOff>
    </xdr:from>
    <xdr:to>
      <xdr:col>21</xdr:col>
      <xdr:colOff>30217</xdr:colOff>
      <xdr:row>40</xdr:row>
      <xdr:rowOff>69631</xdr:rowOff>
    </xdr:to>
    <xdr:sp macro="" textlink="">
      <xdr:nvSpPr>
        <xdr:cNvPr id="50" name="TextBox 49">
          <a:extLst>
            <a:ext uri="{FF2B5EF4-FFF2-40B4-BE49-F238E27FC236}">
              <a16:creationId xmlns:a16="http://schemas.microsoft.com/office/drawing/2014/main" id="{C6E27F8E-6B61-453A-8D58-D5B3E6F2746B}"/>
            </a:ext>
          </a:extLst>
        </xdr:cNvPr>
        <xdr:cNvSpPr txBox="1"/>
      </xdr:nvSpPr>
      <xdr:spPr>
        <a:xfrm>
          <a:off x="11906906" y="6475686"/>
          <a:ext cx="924911" cy="9091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oneCellAnchor>
    <xdr:from>
      <xdr:col>27</xdr:col>
      <xdr:colOff>591207</xdr:colOff>
      <xdr:row>46</xdr:row>
      <xdr:rowOff>78827</xdr:rowOff>
    </xdr:from>
    <xdr:ext cx="184731" cy="264560"/>
    <xdr:sp macro="" textlink="">
      <xdr:nvSpPr>
        <xdr:cNvPr id="51" name="TextBox 50">
          <a:extLst>
            <a:ext uri="{FF2B5EF4-FFF2-40B4-BE49-F238E27FC236}">
              <a16:creationId xmlns:a16="http://schemas.microsoft.com/office/drawing/2014/main" id="{7B6BC737-32DB-48BE-B03B-6A7D01D5C5D7}"/>
            </a:ext>
          </a:extLst>
        </xdr:cNvPr>
        <xdr:cNvSpPr txBox="1"/>
      </xdr:nvSpPr>
      <xdr:spPr>
        <a:xfrm>
          <a:off x="17050407" y="849130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18</xdr:col>
      <xdr:colOff>197069</xdr:colOff>
      <xdr:row>42</xdr:row>
      <xdr:rowOff>0</xdr:rowOff>
    </xdr:from>
    <xdr:to>
      <xdr:col>24</xdr:col>
      <xdr:colOff>433552</xdr:colOff>
      <xdr:row>44</xdr:row>
      <xdr:rowOff>144517</xdr:rowOff>
    </xdr:to>
    <xdr:sp macro="" textlink="">
      <xdr:nvSpPr>
        <xdr:cNvPr id="52" name="TextBox 51">
          <a:extLst>
            <a:ext uri="{FF2B5EF4-FFF2-40B4-BE49-F238E27FC236}">
              <a16:creationId xmlns:a16="http://schemas.microsoft.com/office/drawing/2014/main" id="{ED616115-3D56-44B6-AD76-B71C64A5FC8C}"/>
            </a:ext>
          </a:extLst>
        </xdr:cNvPr>
        <xdr:cNvSpPr txBox="1"/>
      </xdr:nvSpPr>
      <xdr:spPr>
        <a:xfrm>
          <a:off x="11169869" y="7680960"/>
          <a:ext cx="3894083" cy="5102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2000" b="1" i="1"/>
        </a:p>
      </xdr:txBody>
    </xdr:sp>
    <xdr:clientData/>
  </xdr:twoCellAnchor>
  <xdr:twoCellAnchor>
    <xdr:from>
      <xdr:col>5</xdr:col>
      <xdr:colOff>289036</xdr:colOff>
      <xdr:row>8</xdr:row>
      <xdr:rowOff>13138</xdr:rowOff>
    </xdr:from>
    <xdr:to>
      <xdr:col>9</xdr:col>
      <xdr:colOff>381001</xdr:colOff>
      <xdr:row>11</xdr:row>
      <xdr:rowOff>0</xdr:rowOff>
    </xdr:to>
    <xdr:sp macro="" textlink="">
      <xdr:nvSpPr>
        <xdr:cNvPr id="53" name="TextBox 52">
          <a:extLst>
            <a:ext uri="{FF2B5EF4-FFF2-40B4-BE49-F238E27FC236}">
              <a16:creationId xmlns:a16="http://schemas.microsoft.com/office/drawing/2014/main" id="{EA8180C1-69CB-4DA9-A523-BDC255BC877C}"/>
            </a:ext>
          </a:extLst>
        </xdr:cNvPr>
        <xdr:cNvSpPr txBox="1"/>
      </xdr:nvSpPr>
      <xdr:spPr>
        <a:xfrm>
          <a:off x="3337036" y="1476178"/>
          <a:ext cx="2530365" cy="5355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600" b="1" i="0" u="none" strike="noStrike">
              <a:solidFill>
                <a:schemeClr val="dk1"/>
              </a:solidFill>
              <a:effectLst/>
              <a:latin typeface="+mn-lt"/>
              <a:ea typeface="+mn-ea"/>
              <a:cs typeface="+mn-cs"/>
            </a:rPr>
            <a:t>26.07 </a:t>
          </a:r>
          <a:endParaRPr lang="en-IN" sz="3600" b="1"/>
        </a:p>
      </xdr:txBody>
    </xdr:sp>
    <xdr:clientData/>
  </xdr:twoCellAnchor>
  <xdr:twoCellAnchor>
    <xdr:from>
      <xdr:col>19</xdr:col>
      <xdr:colOff>324506</xdr:colOff>
      <xdr:row>22</xdr:row>
      <xdr:rowOff>74886</xdr:rowOff>
    </xdr:from>
    <xdr:to>
      <xdr:col>21</xdr:col>
      <xdr:colOff>30217</xdr:colOff>
      <xdr:row>27</xdr:row>
      <xdr:rowOff>69631</xdr:rowOff>
    </xdr:to>
    <xdr:sp macro="" textlink="">
      <xdr:nvSpPr>
        <xdr:cNvPr id="54" name="TextBox 53">
          <a:extLst>
            <a:ext uri="{FF2B5EF4-FFF2-40B4-BE49-F238E27FC236}">
              <a16:creationId xmlns:a16="http://schemas.microsoft.com/office/drawing/2014/main" id="{307A063E-084C-48AE-9482-5945AEADDD9F}"/>
            </a:ext>
          </a:extLst>
        </xdr:cNvPr>
        <xdr:cNvSpPr txBox="1"/>
      </xdr:nvSpPr>
      <xdr:spPr>
        <a:xfrm>
          <a:off x="11906906" y="4098246"/>
          <a:ext cx="924911" cy="9091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10</xdr:col>
      <xdr:colOff>144517</xdr:colOff>
      <xdr:row>7</xdr:row>
      <xdr:rowOff>157655</xdr:rowOff>
    </xdr:from>
    <xdr:to>
      <xdr:col>14</xdr:col>
      <xdr:colOff>486102</xdr:colOff>
      <xdr:row>11</xdr:row>
      <xdr:rowOff>13138</xdr:rowOff>
    </xdr:to>
    <xdr:sp macro="" textlink="">
      <xdr:nvSpPr>
        <xdr:cNvPr id="55" name="TextBox 54">
          <a:extLst>
            <a:ext uri="{FF2B5EF4-FFF2-40B4-BE49-F238E27FC236}">
              <a16:creationId xmlns:a16="http://schemas.microsoft.com/office/drawing/2014/main" id="{64A7741C-791D-4B2E-BEDE-E5ECB8DC741A}"/>
            </a:ext>
          </a:extLst>
        </xdr:cNvPr>
        <xdr:cNvSpPr txBox="1"/>
      </xdr:nvSpPr>
      <xdr:spPr>
        <a:xfrm>
          <a:off x="6240517" y="1437815"/>
          <a:ext cx="2779985" cy="5870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600" b="1" i="0" u="none" strike="noStrike">
              <a:solidFill>
                <a:schemeClr val="dk1"/>
              </a:solidFill>
              <a:effectLst/>
              <a:latin typeface="+mn-lt"/>
              <a:ea typeface="+mn-ea"/>
              <a:cs typeface="+mn-cs"/>
            </a:rPr>
            <a:t>   64.02 </a:t>
          </a:r>
          <a:r>
            <a:rPr lang="en-IN" sz="3600"/>
            <a:t>💧</a:t>
          </a:r>
          <a:endParaRPr lang="en-IN" sz="3600" b="1" i="0"/>
        </a:p>
      </xdr:txBody>
    </xdr:sp>
    <xdr:clientData/>
  </xdr:twoCellAnchor>
  <xdr:twoCellAnchor>
    <xdr:from>
      <xdr:col>15</xdr:col>
      <xdr:colOff>118242</xdr:colOff>
      <xdr:row>7</xdr:row>
      <xdr:rowOff>131380</xdr:rowOff>
    </xdr:from>
    <xdr:to>
      <xdr:col>19</xdr:col>
      <xdr:colOff>420414</xdr:colOff>
      <xdr:row>10</xdr:row>
      <xdr:rowOff>118242</xdr:rowOff>
    </xdr:to>
    <xdr:sp macro="" textlink="">
      <xdr:nvSpPr>
        <xdr:cNvPr id="56" name="TextBox 55">
          <a:extLst>
            <a:ext uri="{FF2B5EF4-FFF2-40B4-BE49-F238E27FC236}">
              <a16:creationId xmlns:a16="http://schemas.microsoft.com/office/drawing/2014/main" id="{D99A693B-D0EA-4FEC-8BB2-10CB7B368516}"/>
            </a:ext>
          </a:extLst>
        </xdr:cNvPr>
        <xdr:cNvSpPr txBox="1"/>
      </xdr:nvSpPr>
      <xdr:spPr>
        <a:xfrm>
          <a:off x="9262242" y="1411540"/>
          <a:ext cx="2740572" cy="5355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600" b="1" i="0" u="none" strike="noStrike">
              <a:solidFill>
                <a:schemeClr val="dk1"/>
              </a:solidFill>
              <a:effectLst/>
              <a:latin typeface="+mn-lt"/>
              <a:ea typeface="+mn-ea"/>
              <a:cs typeface="+mn-cs"/>
            </a:rPr>
            <a:t>   21962</a:t>
          </a:r>
          <a:r>
            <a:rPr lang="en-IN" sz="3600" b="1">
              <a:effectLst/>
            </a:rPr>
            <a:t> </a:t>
          </a:r>
          <a:endParaRPr lang="en-IN" sz="3600" b="1"/>
        </a:p>
      </xdr:txBody>
    </xdr:sp>
    <xdr:clientData/>
  </xdr:twoCellAnchor>
  <xdr:twoCellAnchor>
    <xdr:from>
      <xdr:col>20</xdr:col>
      <xdr:colOff>78827</xdr:colOff>
      <xdr:row>8</xdr:row>
      <xdr:rowOff>39414</xdr:rowOff>
    </xdr:from>
    <xdr:to>
      <xdr:col>24</xdr:col>
      <xdr:colOff>289034</xdr:colOff>
      <xdr:row>11</xdr:row>
      <xdr:rowOff>39414</xdr:rowOff>
    </xdr:to>
    <xdr:sp macro="" textlink="">
      <xdr:nvSpPr>
        <xdr:cNvPr id="57" name="TextBox 56">
          <a:extLst>
            <a:ext uri="{FF2B5EF4-FFF2-40B4-BE49-F238E27FC236}">
              <a16:creationId xmlns:a16="http://schemas.microsoft.com/office/drawing/2014/main" id="{63AD1701-E420-4EBF-8AA2-5B5D827FA760}"/>
            </a:ext>
          </a:extLst>
        </xdr:cNvPr>
        <xdr:cNvSpPr txBox="1"/>
      </xdr:nvSpPr>
      <xdr:spPr>
        <a:xfrm>
          <a:off x="12270827" y="1502454"/>
          <a:ext cx="2648607"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600" b="1" i="0" u="none" strike="noStrike">
              <a:solidFill>
                <a:schemeClr val="dk1"/>
              </a:solidFill>
              <a:effectLst/>
              <a:latin typeface="+mn-lt"/>
              <a:ea typeface="+mn-ea"/>
              <a:cs typeface="+mn-cs"/>
            </a:rPr>
            <a:t>  18.1</a:t>
          </a:r>
          <a:r>
            <a:rPr lang="en-IN" sz="3600" b="1">
              <a:effectLst/>
            </a:rPr>
            <a:t> </a:t>
          </a:r>
          <a:endParaRPr lang="en-IN" sz="3600" b="1"/>
        </a:p>
      </xdr:txBody>
    </xdr:sp>
    <xdr:clientData/>
  </xdr:twoCellAnchor>
  <xdr:twoCellAnchor editAs="oneCell">
    <xdr:from>
      <xdr:col>22</xdr:col>
      <xdr:colOff>183931</xdr:colOff>
      <xdr:row>8</xdr:row>
      <xdr:rowOff>21021</xdr:rowOff>
    </xdr:from>
    <xdr:to>
      <xdr:col>23</xdr:col>
      <xdr:colOff>433553</xdr:colOff>
      <xdr:row>11</xdr:row>
      <xdr:rowOff>73573</xdr:rowOff>
    </xdr:to>
    <xdr:pic>
      <xdr:nvPicPr>
        <xdr:cNvPr id="59" name="Graphic 58" descr="Leaf with solid fill">
          <a:extLst>
            <a:ext uri="{FF2B5EF4-FFF2-40B4-BE49-F238E27FC236}">
              <a16:creationId xmlns:a16="http://schemas.microsoft.com/office/drawing/2014/main" id="{BC1C5AF9-9803-4CA0-AA57-D43118679D29}"/>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3595131" y="1484061"/>
          <a:ext cx="859222" cy="601192"/>
        </a:xfrm>
        <a:prstGeom prst="rect">
          <a:avLst/>
        </a:prstGeom>
      </xdr:spPr>
    </xdr:pic>
    <xdr:clientData/>
  </xdr:twoCellAnchor>
  <xdr:twoCellAnchor editAs="oneCell">
    <xdr:from>
      <xdr:col>7</xdr:col>
      <xdr:colOff>499241</xdr:colOff>
      <xdr:row>7</xdr:row>
      <xdr:rowOff>178678</xdr:rowOff>
    </xdr:from>
    <xdr:to>
      <xdr:col>9</xdr:col>
      <xdr:colOff>105104</xdr:colOff>
      <xdr:row>11</xdr:row>
      <xdr:rowOff>73574</xdr:rowOff>
    </xdr:to>
    <xdr:pic>
      <xdr:nvPicPr>
        <xdr:cNvPr id="60" name="Graphic 59" descr="Sun with solid fill">
          <a:extLst>
            <a:ext uri="{FF2B5EF4-FFF2-40B4-BE49-F238E27FC236}">
              <a16:creationId xmlns:a16="http://schemas.microsoft.com/office/drawing/2014/main" id="{0184D3E3-1E53-488E-A8FC-DBBF6D13BF08}"/>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766441" y="1458838"/>
          <a:ext cx="825063" cy="626416"/>
        </a:xfrm>
        <a:prstGeom prst="rect">
          <a:avLst/>
        </a:prstGeom>
      </xdr:spPr>
    </xdr:pic>
    <xdr:clientData/>
  </xdr:twoCellAnchor>
  <xdr:twoCellAnchor editAs="oneCell">
    <xdr:from>
      <xdr:col>18</xdr:col>
      <xdr:colOff>39414</xdr:colOff>
      <xdr:row>8</xdr:row>
      <xdr:rowOff>47297</xdr:rowOff>
    </xdr:from>
    <xdr:to>
      <xdr:col>19</xdr:col>
      <xdr:colOff>223346</xdr:colOff>
      <xdr:row>11</xdr:row>
      <xdr:rowOff>34159</xdr:rowOff>
    </xdr:to>
    <xdr:pic>
      <xdr:nvPicPr>
        <xdr:cNvPr id="61" name="Graphic 60" descr="Cloud with solid fill">
          <a:extLst>
            <a:ext uri="{FF2B5EF4-FFF2-40B4-BE49-F238E27FC236}">
              <a16:creationId xmlns:a16="http://schemas.microsoft.com/office/drawing/2014/main" id="{ECB22CA1-45AE-4BA4-9AA5-380BC681202B}"/>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1012214" y="1510337"/>
          <a:ext cx="793532" cy="535502"/>
        </a:xfrm>
        <a:prstGeom prst="rect">
          <a:avLst/>
        </a:prstGeom>
      </xdr:spPr>
    </xdr:pic>
    <xdr:clientData/>
  </xdr:twoCellAnchor>
  <xdr:twoCellAnchor>
    <xdr:from>
      <xdr:col>0</xdr:col>
      <xdr:colOff>137160</xdr:colOff>
      <xdr:row>14</xdr:row>
      <xdr:rowOff>106680</xdr:rowOff>
    </xdr:from>
    <xdr:to>
      <xdr:col>4</xdr:col>
      <xdr:colOff>396240</xdr:colOff>
      <xdr:row>19</xdr:row>
      <xdr:rowOff>121920</xdr:rowOff>
    </xdr:to>
    <xdr:sp macro="" textlink="">
      <xdr:nvSpPr>
        <xdr:cNvPr id="63" name="Rectangle: Rounded Corners 62">
          <a:hlinkClick xmlns:r="http://schemas.openxmlformats.org/officeDocument/2006/relationships" r:id="rId8"/>
          <a:extLst>
            <a:ext uri="{FF2B5EF4-FFF2-40B4-BE49-F238E27FC236}">
              <a16:creationId xmlns:a16="http://schemas.microsoft.com/office/drawing/2014/main" id="{39368443-6A4E-45CF-A2B0-69303D89FA7D}"/>
            </a:ext>
          </a:extLst>
        </xdr:cNvPr>
        <xdr:cNvSpPr/>
      </xdr:nvSpPr>
      <xdr:spPr>
        <a:xfrm>
          <a:off x="137160" y="2667000"/>
          <a:ext cx="2697480" cy="929640"/>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243840</xdr:colOff>
      <xdr:row>23</xdr:row>
      <xdr:rowOff>0</xdr:rowOff>
    </xdr:from>
    <xdr:to>
      <xdr:col>4</xdr:col>
      <xdr:colOff>167640</xdr:colOff>
      <xdr:row>28</xdr:row>
      <xdr:rowOff>160020</xdr:rowOff>
    </xdr:to>
    <xdr:sp macro="" textlink="">
      <xdr:nvSpPr>
        <xdr:cNvPr id="64" name="TextBox 63">
          <a:extLst>
            <a:ext uri="{FF2B5EF4-FFF2-40B4-BE49-F238E27FC236}">
              <a16:creationId xmlns:a16="http://schemas.microsoft.com/office/drawing/2014/main" id="{4D63C059-B24D-4F86-9D98-4E63278143AC}"/>
            </a:ext>
          </a:extLst>
        </xdr:cNvPr>
        <xdr:cNvSpPr txBox="1"/>
      </xdr:nvSpPr>
      <xdr:spPr>
        <a:xfrm>
          <a:off x="243840" y="4206240"/>
          <a:ext cx="2362200" cy="1074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3200">
            <a:solidFill>
              <a:srgbClr val="FF0000"/>
            </a:solidFill>
          </a:endParaRPr>
        </a:p>
      </xdr:txBody>
    </xdr:sp>
    <xdr:clientData/>
  </xdr:twoCellAnchor>
  <xdr:oneCellAnchor>
    <xdr:from>
      <xdr:col>28</xdr:col>
      <xdr:colOff>350520</xdr:colOff>
      <xdr:row>40</xdr:row>
      <xdr:rowOff>76200</xdr:rowOff>
    </xdr:from>
    <xdr:ext cx="184731" cy="264560"/>
    <xdr:sp macro="" textlink="">
      <xdr:nvSpPr>
        <xdr:cNvPr id="65" name="TextBox 64">
          <a:extLst>
            <a:ext uri="{FF2B5EF4-FFF2-40B4-BE49-F238E27FC236}">
              <a16:creationId xmlns:a16="http://schemas.microsoft.com/office/drawing/2014/main" id="{D62FAE08-67FD-47AC-90BC-482159BA60C2}"/>
            </a:ext>
          </a:extLst>
        </xdr:cNvPr>
        <xdr:cNvSpPr txBox="1"/>
      </xdr:nvSpPr>
      <xdr:spPr>
        <a:xfrm>
          <a:off x="17419320" y="739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0</xdr:col>
      <xdr:colOff>106680</xdr:colOff>
      <xdr:row>21</xdr:row>
      <xdr:rowOff>60960</xdr:rowOff>
    </xdr:from>
    <xdr:to>
      <xdr:col>4</xdr:col>
      <xdr:colOff>381000</xdr:colOff>
      <xdr:row>26</xdr:row>
      <xdr:rowOff>76200</xdr:rowOff>
    </xdr:to>
    <xdr:sp macro="" textlink="">
      <xdr:nvSpPr>
        <xdr:cNvPr id="66" name="Rectangle: Rounded Corners 65">
          <a:hlinkClick xmlns:r="http://schemas.openxmlformats.org/officeDocument/2006/relationships" r:id="rId9"/>
          <a:extLst>
            <a:ext uri="{FF2B5EF4-FFF2-40B4-BE49-F238E27FC236}">
              <a16:creationId xmlns:a16="http://schemas.microsoft.com/office/drawing/2014/main" id="{E3BE9184-804B-4453-A6B8-E7441DD527DE}"/>
            </a:ext>
          </a:extLst>
        </xdr:cNvPr>
        <xdr:cNvSpPr/>
      </xdr:nvSpPr>
      <xdr:spPr>
        <a:xfrm>
          <a:off x="106680" y="3901440"/>
          <a:ext cx="2712720" cy="929640"/>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TE</a:t>
          </a:r>
        </a:p>
      </xdr:txBody>
    </xdr:sp>
    <xdr:clientData/>
  </xdr:twoCellAnchor>
  <xdr:twoCellAnchor>
    <xdr:from>
      <xdr:col>0</xdr:col>
      <xdr:colOff>213360</xdr:colOff>
      <xdr:row>29</xdr:row>
      <xdr:rowOff>45720</xdr:rowOff>
    </xdr:from>
    <xdr:to>
      <xdr:col>4</xdr:col>
      <xdr:colOff>137160</xdr:colOff>
      <xdr:row>35</xdr:row>
      <xdr:rowOff>22860</xdr:rowOff>
    </xdr:to>
    <xdr:sp macro="" textlink="">
      <xdr:nvSpPr>
        <xdr:cNvPr id="67" name="TextBox 66">
          <a:hlinkClick xmlns:r="http://schemas.openxmlformats.org/officeDocument/2006/relationships" r:id="rId10"/>
          <a:extLst>
            <a:ext uri="{FF2B5EF4-FFF2-40B4-BE49-F238E27FC236}">
              <a16:creationId xmlns:a16="http://schemas.microsoft.com/office/drawing/2014/main" id="{6A0E715E-7B5A-4AB5-A77E-0D1E5CEBF91F}"/>
            </a:ext>
          </a:extLst>
        </xdr:cNvPr>
        <xdr:cNvSpPr txBox="1"/>
      </xdr:nvSpPr>
      <xdr:spPr>
        <a:xfrm>
          <a:off x="213360" y="5349240"/>
          <a:ext cx="2362200" cy="1074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3200">
            <a:solidFill>
              <a:srgbClr val="FF0000"/>
            </a:solidFill>
          </a:endParaRPr>
        </a:p>
      </xdr:txBody>
    </xdr:sp>
    <xdr:clientData/>
  </xdr:twoCellAnchor>
  <xdr:twoCellAnchor>
    <xdr:from>
      <xdr:col>0</xdr:col>
      <xdr:colOff>121920</xdr:colOff>
      <xdr:row>27</xdr:row>
      <xdr:rowOff>167640</xdr:rowOff>
    </xdr:from>
    <xdr:to>
      <xdr:col>4</xdr:col>
      <xdr:colOff>335280</xdr:colOff>
      <xdr:row>33</xdr:row>
      <xdr:rowOff>0</xdr:rowOff>
    </xdr:to>
    <xdr:sp macro="" textlink="">
      <xdr:nvSpPr>
        <xdr:cNvPr id="68" name="Rectangle: Rounded Corners 67">
          <a:extLst>
            <a:ext uri="{FF2B5EF4-FFF2-40B4-BE49-F238E27FC236}">
              <a16:creationId xmlns:a16="http://schemas.microsoft.com/office/drawing/2014/main" id="{4B431564-DE98-45B7-BB9D-60EB2E22D962}"/>
            </a:ext>
          </a:extLst>
        </xdr:cNvPr>
        <xdr:cNvSpPr/>
      </xdr:nvSpPr>
      <xdr:spPr>
        <a:xfrm>
          <a:off x="121920" y="5105400"/>
          <a:ext cx="2651760" cy="929640"/>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152400</xdr:colOff>
      <xdr:row>36</xdr:row>
      <xdr:rowOff>76200</xdr:rowOff>
    </xdr:from>
    <xdr:to>
      <xdr:col>4</xdr:col>
      <xdr:colOff>76200</xdr:colOff>
      <xdr:row>42</xdr:row>
      <xdr:rowOff>53340</xdr:rowOff>
    </xdr:to>
    <xdr:sp macro="" textlink="">
      <xdr:nvSpPr>
        <xdr:cNvPr id="69" name="TextBox 68">
          <a:extLst>
            <a:ext uri="{FF2B5EF4-FFF2-40B4-BE49-F238E27FC236}">
              <a16:creationId xmlns:a16="http://schemas.microsoft.com/office/drawing/2014/main" id="{690979AF-2124-45FE-B5DB-255190A7BA3B}"/>
            </a:ext>
          </a:extLst>
        </xdr:cNvPr>
        <xdr:cNvSpPr txBox="1"/>
      </xdr:nvSpPr>
      <xdr:spPr>
        <a:xfrm>
          <a:off x="152400" y="6659880"/>
          <a:ext cx="2362200" cy="1074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3200">
            <a:solidFill>
              <a:srgbClr val="FF0000"/>
            </a:solidFill>
          </a:endParaRPr>
        </a:p>
      </xdr:txBody>
    </xdr:sp>
    <xdr:clientData/>
  </xdr:twoCellAnchor>
  <xdr:twoCellAnchor>
    <xdr:from>
      <xdr:col>0</xdr:col>
      <xdr:colOff>106680</xdr:colOff>
      <xdr:row>34</xdr:row>
      <xdr:rowOff>152400</xdr:rowOff>
    </xdr:from>
    <xdr:to>
      <xdr:col>4</xdr:col>
      <xdr:colOff>365760</xdr:colOff>
      <xdr:row>39</xdr:row>
      <xdr:rowOff>167640</xdr:rowOff>
    </xdr:to>
    <xdr:sp macro="" textlink="">
      <xdr:nvSpPr>
        <xdr:cNvPr id="70" name="Rectangle: Rounded Corners 69">
          <a:hlinkClick xmlns:r="http://schemas.openxmlformats.org/officeDocument/2006/relationships" r:id="rId11"/>
          <a:extLst>
            <a:ext uri="{FF2B5EF4-FFF2-40B4-BE49-F238E27FC236}">
              <a16:creationId xmlns:a16="http://schemas.microsoft.com/office/drawing/2014/main" id="{5B8048F7-6AF7-449B-9A34-6FBCC6E3388D}"/>
            </a:ext>
          </a:extLst>
        </xdr:cNvPr>
        <xdr:cNvSpPr/>
      </xdr:nvSpPr>
      <xdr:spPr>
        <a:xfrm>
          <a:off x="106680" y="6370320"/>
          <a:ext cx="2697480" cy="929640"/>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198120</xdr:colOff>
      <xdr:row>42</xdr:row>
      <xdr:rowOff>45720</xdr:rowOff>
    </xdr:from>
    <xdr:to>
      <xdr:col>4</xdr:col>
      <xdr:colOff>121920</xdr:colOff>
      <xdr:row>48</xdr:row>
      <xdr:rowOff>22860</xdr:rowOff>
    </xdr:to>
    <xdr:sp macro="" textlink="">
      <xdr:nvSpPr>
        <xdr:cNvPr id="71" name="TextBox 70">
          <a:extLst>
            <a:ext uri="{FF2B5EF4-FFF2-40B4-BE49-F238E27FC236}">
              <a16:creationId xmlns:a16="http://schemas.microsoft.com/office/drawing/2014/main" id="{BA82C343-B67B-4893-9F6E-E913E3ADCC6F}"/>
            </a:ext>
          </a:extLst>
        </xdr:cNvPr>
        <xdr:cNvSpPr txBox="1"/>
      </xdr:nvSpPr>
      <xdr:spPr>
        <a:xfrm>
          <a:off x="198120" y="7726680"/>
          <a:ext cx="2362200" cy="1074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3200">
            <a:solidFill>
              <a:srgbClr val="FF0000"/>
            </a:solidFill>
          </a:endParaRPr>
        </a:p>
      </xdr:txBody>
    </xdr:sp>
    <xdr:clientData/>
  </xdr:twoCellAnchor>
  <xdr:twoCellAnchor>
    <xdr:from>
      <xdr:col>0</xdr:col>
      <xdr:colOff>106680</xdr:colOff>
      <xdr:row>41</xdr:row>
      <xdr:rowOff>152400</xdr:rowOff>
    </xdr:from>
    <xdr:to>
      <xdr:col>4</xdr:col>
      <xdr:colOff>350520</xdr:colOff>
      <xdr:row>46</xdr:row>
      <xdr:rowOff>167640</xdr:rowOff>
    </xdr:to>
    <xdr:sp macro="" textlink="">
      <xdr:nvSpPr>
        <xdr:cNvPr id="72" name="Rectangle: Rounded Corners 71">
          <a:hlinkClick xmlns:r="http://schemas.openxmlformats.org/officeDocument/2006/relationships" r:id="rId9"/>
          <a:extLst>
            <a:ext uri="{FF2B5EF4-FFF2-40B4-BE49-F238E27FC236}">
              <a16:creationId xmlns:a16="http://schemas.microsoft.com/office/drawing/2014/main" id="{47B894BE-5049-4E07-BC6C-AE2AC7D87C36}"/>
            </a:ext>
          </a:extLst>
        </xdr:cNvPr>
        <xdr:cNvSpPr/>
      </xdr:nvSpPr>
      <xdr:spPr>
        <a:xfrm>
          <a:off x="106680" y="7650480"/>
          <a:ext cx="2682240" cy="929640"/>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289560</xdr:colOff>
      <xdr:row>15</xdr:row>
      <xdr:rowOff>30480</xdr:rowOff>
    </xdr:from>
    <xdr:to>
      <xdr:col>4</xdr:col>
      <xdr:colOff>411480</xdr:colOff>
      <xdr:row>19</xdr:row>
      <xdr:rowOff>99060</xdr:rowOff>
    </xdr:to>
    <xdr:sp macro="" textlink="">
      <xdr:nvSpPr>
        <xdr:cNvPr id="73" name="TextBox 72">
          <a:hlinkClick xmlns:r="http://schemas.openxmlformats.org/officeDocument/2006/relationships" r:id="rId8"/>
          <a:extLst>
            <a:ext uri="{FF2B5EF4-FFF2-40B4-BE49-F238E27FC236}">
              <a16:creationId xmlns:a16="http://schemas.microsoft.com/office/drawing/2014/main" id="{94FD4F8E-636D-40F5-8FFD-4AE3A9FC70F6}"/>
            </a:ext>
          </a:extLst>
        </xdr:cNvPr>
        <xdr:cNvSpPr txBox="1"/>
      </xdr:nvSpPr>
      <xdr:spPr>
        <a:xfrm>
          <a:off x="289560" y="2773680"/>
          <a:ext cx="2560320" cy="800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b="1">
              <a:solidFill>
                <a:schemeClr val="tx1"/>
              </a:solidFill>
            </a:rPr>
            <a:t>DASHBOARD</a:t>
          </a:r>
        </a:p>
      </xdr:txBody>
    </xdr:sp>
    <xdr:clientData/>
  </xdr:twoCellAnchor>
  <xdr:twoCellAnchor>
    <xdr:from>
      <xdr:col>30</xdr:col>
      <xdr:colOff>15240</xdr:colOff>
      <xdr:row>48</xdr:row>
      <xdr:rowOff>60961</xdr:rowOff>
    </xdr:from>
    <xdr:to>
      <xdr:col>36</xdr:col>
      <xdr:colOff>213360</xdr:colOff>
      <xdr:row>50</xdr:row>
      <xdr:rowOff>167640</xdr:rowOff>
    </xdr:to>
    <xdr:sp macro="" textlink="">
      <xdr:nvSpPr>
        <xdr:cNvPr id="74" name="TextBox 73">
          <a:extLst>
            <a:ext uri="{FF2B5EF4-FFF2-40B4-BE49-F238E27FC236}">
              <a16:creationId xmlns:a16="http://schemas.microsoft.com/office/drawing/2014/main" id="{5D86FB2E-E0CE-433D-84DD-8F708439AB7D}"/>
            </a:ext>
          </a:extLst>
        </xdr:cNvPr>
        <xdr:cNvSpPr txBox="1"/>
      </xdr:nvSpPr>
      <xdr:spPr>
        <a:xfrm>
          <a:off x="18303240" y="8839201"/>
          <a:ext cx="3855720" cy="4724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0</xdr:col>
      <xdr:colOff>243840</xdr:colOff>
      <xdr:row>21</xdr:row>
      <xdr:rowOff>121920</xdr:rowOff>
    </xdr:from>
    <xdr:to>
      <xdr:col>4</xdr:col>
      <xdr:colOff>289560</xdr:colOff>
      <xdr:row>26</xdr:row>
      <xdr:rowOff>91440</xdr:rowOff>
    </xdr:to>
    <xdr:sp macro="" textlink="">
      <xdr:nvSpPr>
        <xdr:cNvPr id="75" name="TextBox 74">
          <a:hlinkClick xmlns:r="http://schemas.openxmlformats.org/officeDocument/2006/relationships" r:id="rId9"/>
          <a:extLst>
            <a:ext uri="{FF2B5EF4-FFF2-40B4-BE49-F238E27FC236}">
              <a16:creationId xmlns:a16="http://schemas.microsoft.com/office/drawing/2014/main" id="{2A81ECB3-D30A-41A0-AB3C-3D77B451DDEF}"/>
            </a:ext>
          </a:extLst>
        </xdr:cNvPr>
        <xdr:cNvSpPr txBox="1"/>
      </xdr:nvSpPr>
      <xdr:spPr>
        <a:xfrm>
          <a:off x="243840" y="3962400"/>
          <a:ext cx="2484120" cy="883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a:solidFill>
                <a:sysClr val="windowText" lastClr="000000"/>
              </a:solidFill>
            </a:rPr>
            <a:t>TEMPERATURE</a:t>
          </a:r>
        </a:p>
      </xdr:txBody>
    </xdr:sp>
    <xdr:clientData/>
  </xdr:twoCellAnchor>
  <xdr:twoCellAnchor>
    <xdr:from>
      <xdr:col>0</xdr:col>
      <xdr:colOff>198120</xdr:colOff>
      <xdr:row>28</xdr:row>
      <xdr:rowOff>91440</xdr:rowOff>
    </xdr:from>
    <xdr:to>
      <xdr:col>4</xdr:col>
      <xdr:colOff>274320</xdr:colOff>
      <xdr:row>32</xdr:row>
      <xdr:rowOff>91440</xdr:rowOff>
    </xdr:to>
    <xdr:sp macro="" textlink="">
      <xdr:nvSpPr>
        <xdr:cNvPr id="76" name="TextBox 75">
          <a:hlinkClick xmlns:r="http://schemas.openxmlformats.org/officeDocument/2006/relationships" r:id="rId11"/>
          <a:extLst>
            <a:ext uri="{FF2B5EF4-FFF2-40B4-BE49-F238E27FC236}">
              <a16:creationId xmlns:a16="http://schemas.microsoft.com/office/drawing/2014/main" id="{0BB7E7B2-4BA1-470A-8DD5-A3FA51200407}"/>
            </a:ext>
          </a:extLst>
        </xdr:cNvPr>
        <xdr:cNvSpPr txBox="1"/>
      </xdr:nvSpPr>
      <xdr:spPr>
        <a:xfrm>
          <a:off x="198120" y="5212080"/>
          <a:ext cx="2514600" cy="731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b="1"/>
            <a:t>HUMIDITY</a:t>
          </a:r>
        </a:p>
      </xdr:txBody>
    </xdr:sp>
    <xdr:clientData/>
  </xdr:twoCellAnchor>
  <xdr:twoCellAnchor>
    <xdr:from>
      <xdr:col>0</xdr:col>
      <xdr:colOff>137160</xdr:colOff>
      <xdr:row>35</xdr:row>
      <xdr:rowOff>30480</xdr:rowOff>
    </xdr:from>
    <xdr:to>
      <xdr:col>4</xdr:col>
      <xdr:colOff>289560</xdr:colOff>
      <xdr:row>40</xdr:row>
      <xdr:rowOff>30480</xdr:rowOff>
    </xdr:to>
    <xdr:sp macro="" textlink="">
      <xdr:nvSpPr>
        <xdr:cNvPr id="77" name="TextBox 76">
          <a:hlinkClick xmlns:r="http://schemas.openxmlformats.org/officeDocument/2006/relationships" r:id="rId8"/>
          <a:extLst>
            <a:ext uri="{FF2B5EF4-FFF2-40B4-BE49-F238E27FC236}">
              <a16:creationId xmlns:a16="http://schemas.microsoft.com/office/drawing/2014/main" id="{46056C31-6A37-4F1E-815D-CE6F4E644B8A}"/>
            </a:ext>
          </a:extLst>
        </xdr:cNvPr>
        <xdr:cNvSpPr txBox="1"/>
      </xdr:nvSpPr>
      <xdr:spPr>
        <a:xfrm>
          <a:off x="137160" y="6431280"/>
          <a:ext cx="259080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b="1"/>
            <a:t>WEATHER</a:t>
          </a:r>
        </a:p>
      </xdr:txBody>
    </xdr:sp>
    <xdr:clientData/>
  </xdr:twoCellAnchor>
  <xdr:twoCellAnchor>
    <xdr:from>
      <xdr:col>0</xdr:col>
      <xdr:colOff>152400</xdr:colOff>
      <xdr:row>42</xdr:row>
      <xdr:rowOff>30480</xdr:rowOff>
    </xdr:from>
    <xdr:to>
      <xdr:col>4</xdr:col>
      <xdr:colOff>274320</xdr:colOff>
      <xdr:row>46</xdr:row>
      <xdr:rowOff>121920</xdr:rowOff>
    </xdr:to>
    <xdr:sp macro="" textlink="">
      <xdr:nvSpPr>
        <xdr:cNvPr id="78" name="TextBox 77">
          <a:hlinkClick xmlns:r="http://schemas.openxmlformats.org/officeDocument/2006/relationships" r:id="rId12"/>
          <a:extLst>
            <a:ext uri="{FF2B5EF4-FFF2-40B4-BE49-F238E27FC236}">
              <a16:creationId xmlns:a16="http://schemas.microsoft.com/office/drawing/2014/main" id="{71B8EA0B-90EE-4FDF-96BD-2E00CC24F2CF}"/>
            </a:ext>
          </a:extLst>
        </xdr:cNvPr>
        <xdr:cNvSpPr txBox="1"/>
      </xdr:nvSpPr>
      <xdr:spPr>
        <a:xfrm>
          <a:off x="152400" y="7711440"/>
          <a:ext cx="2560320" cy="822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b="1"/>
            <a:t>RAINFALL</a:t>
          </a:r>
        </a:p>
      </xdr:txBody>
    </xdr:sp>
    <xdr:clientData/>
  </xdr:twoCellAnchor>
  <xdr:twoCellAnchor editAs="oneCell">
    <xdr:from>
      <xdr:col>5</xdr:col>
      <xdr:colOff>579120</xdr:colOff>
      <xdr:row>24</xdr:row>
      <xdr:rowOff>15240</xdr:rowOff>
    </xdr:from>
    <xdr:to>
      <xdr:col>14</xdr:col>
      <xdr:colOff>594360</xdr:colOff>
      <xdr:row>29</xdr:row>
      <xdr:rowOff>22121</xdr:rowOff>
    </xdr:to>
    <xdr:pic>
      <xdr:nvPicPr>
        <xdr:cNvPr id="79" name="Picture 78">
          <a:extLst>
            <a:ext uri="{FF2B5EF4-FFF2-40B4-BE49-F238E27FC236}">
              <a16:creationId xmlns:a16="http://schemas.microsoft.com/office/drawing/2014/main" id="{F5499ADA-B317-1117-2C0F-F2AA7EE39FF2}"/>
            </a:ext>
          </a:extLst>
        </xdr:cNvPr>
        <xdr:cNvPicPr>
          <a:picLocks noChangeAspect="1"/>
        </xdr:cNvPicPr>
      </xdr:nvPicPr>
      <xdr:blipFill>
        <a:blip xmlns:r="http://schemas.openxmlformats.org/officeDocument/2006/relationships" r:embed="rId13"/>
        <a:stretch>
          <a:fillRect/>
        </a:stretch>
      </xdr:blipFill>
      <xdr:spPr>
        <a:xfrm>
          <a:off x="3627120" y="4404360"/>
          <a:ext cx="5501640" cy="921281"/>
        </a:xfrm>
        <a:prstGeom prst="rect">
          <a:avLst/>
        </a:prstGeom>
      </xdr:spPr>
    </xdr:pic>
    <xdr:clientData/>
  </xdr:twoCellAnchor>
  <xdr:twoCellAnchor>
    <xdr:from>
      <xdr:col>16</xdr:col>
      <xdr:colOff>76200</xdr:colOff>
      <xdr:row>24</xdr:row>
      <xdr:rowOff>30480</xdr:rowOff>
    </xdr:from>
    <xdr:to>
      <xdr:col>24</xdr:col>
      <xdr:colOff>0</xdr:colOff>
      <xdr:row>57</xdr:row>
      <xdr:rowOff>30480</xdr:rowOff>
    </xdr:to>
    <xdr:sp macro="" textlink="">
      <xdr:nvSpPr>
        <xdr:cNvPr id="82" name="Oval 81">
          <a:extLst>
            <a:ext uri="{FF2B5EF4-FFF2-40B4-BE49-F238E27FC236}">
              <a16:creationId xmlns:a16="http://schemas.microsoft.com/office/drawing/2014/main" id="{E0A4226C-5A22-3CD0-3D69-AE33F937456C}"/>
            </a:ext>
          </a:extLst>
        </xdr:cNvPr>
        <xdr:cNvSpPr/>
      </xdr:nvSpPr>
      <xdr:spPr>
        <a:xfrm>
          <a:off x="9829800" y="4419600"/>
          <a:ext cx="4800600" cy="6035040"/>
        </a:xfrm>
        <a:prstGeom prst="ellipse">
          <a:avLst/>
        </a:prstGeom>
        <a:solidFill>
          <a:srgbClr val="CFC9A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396240</xdr:colOff>
      <xdr:row>27</xdr:row>
      <xdr:rowOff>121920</xdr:rowOff>
    </xdr:from>
    <xdr:to>
      <xdr:col>23</xdr:col>
      <xdr:colOff>60960</xdr:colOff>
      <xdr:row>56</xdr:row>
      <xdr:rowOff>30480</xdr:rowOff>
    </xdr:to>
    <xdr:sp macro="" textlink="">
      <xdr:nvSpPr>
        <xdr:cNvPr id="5121" name="Text Box 1">
          <a:extLst>
            <a:ext uri="{FF2B5EF4-FFF2-40B4-BE49-F238E27FC236}">
              <a16:creationId xmlns:a16="http://schemas.microsoft.com/office/drawing/2014/main" id="{2216B07C-3C8D-A1D8-8504-4465F63F47E9}"/>
            </a:ext>
          </a:extLst>
        </xdr:cNvPr>
        <xdr:cNvSpPr txBox="1">
          <a:spLocks noChangeArrowheads="1"/>
        </xdr:cNvSpPr>
      </xdr:nvSpPr>
      <xdr:spPr bwMode="auto">
        <a:xfrm>
          <a:off x="10759440" y="5059680"/>
          <a:ext cx="3322320" cy="5212080"/>
        </a:xfrm>
        <a:prstGeom prst="rect">
          <a:avLst/>
        </a:prstGeom>
        <a:noFill/>
        <a:ln w="9525">
          <a:noFill/>
          <a:miter lim="800000"/>
          <a:headEnd/>
          <a:tailEnd/>
        </a:ln>
      </xdr:spPr>
      <xdr:txBody>
        <a:bodyPr vertOverflow="clip" wrap="square" lIns="27432" tIns="18288" rIns="0" bIns="0" anchor="ctr" upright="1"/>
        <a:lstStyle/>
        <a:p>
          <a:pPr algn="l" rtl="0">
            <a:defRPr sz="1000"/>
          </a:pPr>
          <a:r>
            <a:rPr lang="en-IN" sz="2400" b="0" i="0" u="none" strike="noStrike" baseline="0">
              <a:solidFill>
                <a:srgbClr val="000000"/>
              </a:solidFill>
              <a:latin typeface="Calibri"/>
              <a:ea typeface="Calibri"/>
              <a:cs typeface="Calibri"/>
            </a:rPr>
            <a:t>This graph shows variation in values across different states. Kerala records the highest value, while Punjab has the lowest. Overall, there is a clear difference among states, with some regions like Assam and Tamil Nadu showing </a:t>
          </a:r>
          <a:r>
            <a:rPr lang="en-IN" sz="2400"/>
            <a:t>relatively higher values compared to </a:t>
          </a:r>
          <a:r>
            <a:rPr lang="en-IN" sz="2800" b="0" i="0" baseline="0">
              <a:effectLst/>
              <a:latin typeface="+mn-lt"/>
              <a:ea typeface="+mn-ea"/>
              <a:cs typeface="+mn-cs"/>
            </a:rPr>
            <a:t>others.</a:t>
          </a:r>
          <a:endParaRPr lang="en-IN" sz="2400"/>
        </a:p>
        <a:p>
          <a:pPr algn="l" rtl="0">
            <a:defRPr sz="1000"/>
          </a:pPr>
          <a:r>
            <a:rPr lang="en-IN" sz="2400" b="0" i="0" u="none" strike="noStrike" baseline="0">
              <a:solidFill>
                <a:srgbClr val="000000"/>
              </a:solidFill>
              <a:latin typeface="Calibri"/>
              <a:ea typeface="Calibri"/>
              <a:cs typeface="Calibri"/>
            </a:rPr>
            <a:t>             </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7620</xdr:colOff>
      <xdr:row>0</xdr:row>
      <xdr:rowOff>0</xdr:rowOff>
    </xdr:from>
    <xdr:to>
      <xdr:col>24</xdr:col>
      <xdr:colOff>549691</xdr:colOff>
      <xdr:row>60</xdr:row>
      <xdr:rowOff>100900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1A4A94A1-C72B-4E78-A376-7BA417CEEC63}"/>
            </a:ext>
          </a:extLst>
        </xdr:cNvPr>
        <xdr:cNvSpPr/>
      </xdr:nvSpPr>
      <xdr:spPr>
        <a:xfrm>
          <a:off x="7620" y="0"/>
          <a:ext cx="15172471" cy="11073700"/>
        </a:xfrm>
        <a:prstGeom prst="roundRect">
          <a:avLst>
            <a:gd name="adj" fmla="val 1"/>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487680</xdr:colOff>
      <xdr:row>0</xdr:row>
      <xdr:rowOff>30480</xdr:rowOff>
    </xdr:from>
    <xdr:to>
      <xdr:col>24</xdr:col>
      <xdr:colOff>536553</xdr:colOff>
      <xdr:row>60</xdr:row>
      <xdr:rowOff>121920</xdr:rowOff>
    </xdr:to>
    <xdr:sp macro="" textlink="">
      <xdr:nvSpPr>
        <xdr:cNvPr id="3" name="Rectangle: Rounded Corners 2">
          <a:extLst>
            <a:ext uri="{FF2B5EF4-FFF2-40B4-BE49-F238E27FC236}">
              <a16:creationId xmlns:a16="http://schemas.microsoft.com/office/drawing/2014/main" id="{795147A8-C69C-493B-B053-337035AF50F8}"/>
            </a:ext>
          </a:extLst>
        </xdr:cNvPr>
        <xdr:cNvSpPr/>
      </xdr:nvSpPr>
      <xdr:spPr>
        <a:xfrm>
          <a:off x="2926080" y="30480"/>
          <a:ext cx="12240873" cy="11064240"/>
        </a:xfrm>
        <a:prstGeom prst="roundRect">
          <a:avLst>
            <a:gd name="adj" fmla="val 1"/>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548640</xdr:colOff>
      <xdr:row>0</xdr:row>
      <xdr:rowOff>91440</xdr:rowOff>
    </xdr:from>
    <xdr:to>
      <xdr:col>24</xdr:col>
      <xdr:colOff>426720</xdr:colOff>
      <xdr:row>4</xdr:row>
      <xdr:rowOff>170793</xdr:rowOff>
    </xdr:to>
    <xdr:sp macro="" textlink="">
      <xdr:nvSpPr>
        <xdr:cNvPr id="4" name="Rectangle 3">
          <a:extLst>
            <a:ext uri="{FF2B5EF4-FFF2-40B4-BE49-F238E27FC236}">
              <a16:creationId xmlns:a16="http://schemas.microsoft.com/office/drawing/2014/main" id="{B418D3C8-78B1-4829-AD7D-221020BF61BE}"/>
            </a:ext>
          </a:extLst>
        </xdr:cNvPr>
        <xdr:cNvSpPr/>
      </xdr:nvSpPr>
      <xdr:spPr>
        <a:xfrm>
          <a:off x="2987040" y="91440"/>
          <a:ext cx="12070080" cy="810873"/>
        </a:xfrm>
        <a:prstGeom prst="rect">
          <a:avLst/>
        </a:prstGeom>
        <a:solidFill>
          <a:srgbClr val="002060"/>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433552</xdr:colOff>
      <xdr:row>0</xdr:row>
      <xdr:rowOff>157656</xdr:rowOff>
    </xdr:from>
    <xdr:to>
      <xdr:col>22</xdr:col>
      <xdr:colOff>65690</xdr:colOff>
      <xdr:row>4</xdr:row>
      <xdr:rowOff>157656</xdr:rowOff>
    </xdr:to>
    <xdr:sp macro="" textlink="">
      <xdr:nvSpPr>
        <xdr:cNvPr id="5" name="TextBox 4">
          <a:extLst>
            <a:ext uri="{FF2B5EF4-FFF2-40B4-BE49-F238E27FC236}">
              <a16:creationId xmlns:a16="http://schemas.microsoft.com/office/drawing/2014/main" id="{A218A3A4-C761-4265-9314-1EA0449829FD}"/>
            </a:ext>
          </a:extLst>
        </xdr:cNvPr>
        <xdr:cNvSpPr txBox="1"/>
      </xdr:nvSpPr>
      <xdr:spPr>
        <a:xfrm>
          <a:off x="4700752" y="157656"/>
          <a:ext cx="8776138" cy="731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6000">
              <a:solidFill>
                <a:schemeClr val="bg1"/>
              </a:solidFill>
            </a:rPr>
            <a:t>  WEATHER DATA</a:t>
          </a:r>
          <a:r>
            <a:rPr lang="en-IN" sz="6000" baseline="0">
              <a:solidFill>
                <a:schemeClr val="bg1"/>
              </a:solidFill>
            </a:rPr>
            <a:t> ANALYSIS</a:t>
          </a:r>
          <a:endParaRPr lang="en-IN" sz="6000">
            <a:solidFill>
              <a:schemeClr val="bg1"/>
            </a:solidFill>
          </a:endParaRPr>
        </a:p>
      </xdr:txBody>
    </xdr:sp>
    <xdr:clientData/>
  </xdr:twoCellAnchor>
  <xdr:twoCellAnchor>
    <xdr:from>
      <xdr:col>4</xdr:col>
      <xdr:colOff>604344</xdr:colOff>
      <xdr:row>5</xdr:row>
      <xdr:rowOff>157656</xdr:rowOff>
    </xdr:from>
    <xdr:to>
      <xdr:col>9</xdr:col>
      <xdr:colOff>525518</xdr:colOff>
      <xdr:row>11</xdr:row>
      <xdr:rowOff>78829</xdr:rowOff>
    </xdr:to>
    <xdr:sp macro="" textlink="">
      <xdr:nvSpPr>
        <xdr:cNvPr id="6" name="Rectangle: Rounded Corners 5">
          <a:extLst>
            <a:ext uri="{FF2B5EF4-FFF2-40B4-BE49-F238E27FC236}">
              <a16:creationId xmlns:a16="http://schemas.microsoft.com/office/drawing/2014/main" id="{93E3CE59-ACBF-44ED-B834-774E34C9C0E4}"/>
            </a:ext>
          </a:extLst>
        </xdr:cNvPr>
        <xdr:cNvSpPr/>
      </xdr:nvSpPr>
      <xdr:spPr>
        <a:xfrm>
          <a:off x="3042744" y="1072056"/>
          <a:ext cx="2969174" cy="1018453"/>
        </a:xfrm>
        <a:prstGeom prst="roundRect">
          <a:avLst/>
        </a:prstGeom>
        <a:solidFill>
          <a:srgbClr val="FF7DB2"/>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xdr:colOff>
      <xdr:row>5</xdr:row>
      <xdr:rowOff>144518</xdr:rowOff>
    </xdr:from>
    <xdr:to>
      <xdr:col>14</xdr:col>
      <xdr:colOff>486104</xdr:colOff>
      <xdr:row>11</xdr:row>
      <xdr:rowOff>65691</xdr:rowOff>
    </xdr:to>
    <xdr:sp macro="" textlink="">
      <xdr:nvSpPr>
        <xdr:cNvPr id="7" name="Rectangle: Rounded Corners 6">
          <a:extLst>
            <a:ext uri="{FF2B5EF4-FFF2-40B4-BE49-F238E27FC236}">
              <a16:creationId xmlns:a16="http://schemas.microsoft.com/office/drawing/2014/main" id="{722B5677-606A-4FAD-A440-5F9D0CEB7A45}"/>
            </a:ext>
          </a:extLst>
        </xdr:cNvPr>
        <xdr:cNvSpPr/>
      </xdr:nvSpPr>
      <xdr:spPr>
        <a:xfrm>
          <a:off x="6096003" y="1058918"/>
          <a:ext cx="2924501" cy="1018453"/>
        </a:xfrm>
        <a:prstGeom prst="roundRect">
          <a:avLst/>
        </a:prstGeom>
        <a:solidFill>
          <a:srgbClr val="C2F4FE"/>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CCFF66"/>
            </a:solidFill>
          </a:endParaRPr>
        </a:p>
      </xdr:txBody>
    </xdr:sp>
    <xdr:clientData/>
  </xdr:twoCellAnchor>
  <xdr:twoCellAnchor>
    <xdr:from>
      <xdr:col>14</xdr:col>
      <xdr:colOff>551796</xdr:colOff>
      <xdr:row>5</xdr:row>
      <xdr:rowOff>144518</xdr:rowOff>
    </xdr:from>
    <xdr:to>
      <xdr:col>19</xdr:col>
      <xdr:colOff>472966</xdr:colOff>
      <xdr:row>11</xdr:row>
      <xdr:rowOff>65691</xdr:rowOff>
    </xdr:to>
    <xdr:sp macro="" textlink="">
      <xdr:nvSpPr>
        <xdr:cNvPr id="8" name="Rectangle: Rounded Corners 7">
          <a:extLst>
            <a:ext uri="{FF2B5EF4-FFF2-40B4-BE49-F238E27FC236}">
              <a16:creationId xmlns:a16="http://schemas.microsoft.com/office/drawing/2014/main" id="{3DD2DC84-208F-434D-92CC-25121A2BEE14}"/>
            </a:ext>
          </a:extLst>
        </xdr:cNvPr>
        <xdr:cNvSpPr/>
      </xdr:nvSpPr>
      <xdr:spPr>
        <a:xfrm>
          <a:off x="9086196" y="1058918"/>
          <a:ext cx="2969170" cy="1018453"/>
        </a:xfrm>
        <a:prstGeom prst="roundRect">
          <a:avLst/>
        </a:prstGeom>
        <a:solidFill>
          <a:srgbClr val="E4FFAF"/>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FFFF99"/>
            </a:solidFill>
          </a:endParaRPr>
        </a:p>
      </xdr:txBody>
    </xdr:sp>
    <xdr:clientData/>
  </xdr:twoCellAnchor>
  <xdr:twoCellAnchor>
    <xdr:from>
      <xdr:col>19</xdr:col>
      <xdr:colOff>538656</xdr:colOff>
      <xdr:row>5</xdr:row>
      <xdr:rowOff>157656</xdr:rowOff>
    </xdr:from>
    <xdr:to>
      <xdr:col>24</xdr:col>
      <xdr:colOff>433552</xdr:colOff>
      <xdr:row>11</xdr:row>
      <xdr:rowOff>78829</xdr:rowOff>
    </xdr:to>
    <xdr:sp macro="" textlink="">
      <xdr:nvSpPr>
        <xdr:cNvPr id="9" name="Rectangle: Rounded Corners 8">
          <a:extLst>
            <a:ext uri="{FF2B5EF4-FFF2-40B4-BE49-F238E27FC236}">
              <a16:creationId xmlns:a16="http://schemas.microsoft.com/office/drawing/2014/main" id="{0CF68CDC-D43F-4C03-BEC3-6177D3249A3F}"/>
            </a:ext>
          </a:extLst>
        </xdr:cNvPr>
        <xdr:cNvSpPr/>
      </xdr:nvSpPr>
      <xdr:spPr>
        <a:xfrm>
          <a:off x="12121056" y="1072056"/>
          <a:ext cx="2942896" cy="1018453"/>
        </a:xfrm>
        <a:prstGeom prst="roundRect">
          <a:avLst/>
        </a:prstGeom>
        <a:solidFill>
          <a:srgbClr val="FFFFCC"/>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C2F4FE"/>
            </a:solidFill>
          </a:endParaRPr>
        </a:p>
      </xdr:txBody>
    </xdr:sp>
    <xdr:clientData/>
  </xdr:twoCellAnchor>
  <xdr:twoCellAnchor>
    <xdr:from>
      <xdr:col>19</xdr:col>
      <xdr:colOff>324506</xdr:colOff>
      <xdr:row>20</xdr:row>
      <xdr:rowOff>101162</xdr:rowOff>
    </xdr:from>
    <xdr:to>
      <xdr:col>21</xdr:col>
      <xdr:colOff>30217</xdr:colOff>
      <xdr:row>25</xdr:row>
      <xdr:rowOff>95907</xdr:rowOff>
    </xdr:to>
    <xdr:sp macro="" textlink="">
      <xdr:nvSpPr>
        <xdr:cNvPr id="10" name="TextBox 9">
          <a:extLst>
            <a:ext uri="{FF2B5EF4-FFF2-40B4-BE49-F238E27FC236}">
              <a16:creationId xmlns:a16="http://schemas.microsoft.com/office/drawing/2014/main" id="{169F6CD0-FF30-48FF-B813-308993F5CBD5}"/>
            </a:ext>
          </a:extLst>
        </xdr:cNvPr>
        <xdr:cNvSpPr txBox="1"/>
      </xdr:nvSpPr>
      <xdr:spPr>
        <a:xfrm>
          <a:off x="11906906" y="3758762"/>
          <a:ext cx="924911" cy="9091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19</xdr:col>
      <xdr:colOff>324506</xdr:colOff>
      <xdr:row>20</xdr:row>
      <xdr:rowOff>101162</xdr:rowOff>
    </xdr:from>
    <xdr:to>
      <xdr:col>21</xdr:col>
      <xdr:colOff>30217</xdr:colOff>
      <xdr:row>25</xdr:row>
      <xdr:rowOff>95907</xdr:rowOff>
    </xdr:to>
    <xdr:sp macro="" textlink="">
      <xdr:nvSpPr>
        <xdr:cNvPr id="11" name="TextBox 10">
          <a:extLst>
            <a:ext uri="{FF2B5EF4-FFF2-40B4-BE49-F238E27FC236}">
              <a16:creationId xmlns:a16="http://schemas.microsoft.com/office/drawing/2014/main" id="{421F6168-875C-4C9E-804E-8A7230DE7A43}"/>
            </a:ext>
          </a:extLst>
        </xdr:cNvPr>
        <xdr:cNvSpPr txBox="1"/>
      </xdr:nvSpPr>
      <xdr:spPr>
        <a:xfrm>
          <a:off x="11906906" y="3758762"/>
          <a:ext cx="924911" cy="9091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ln>
              <a:noFill/>
            </a:ln>
            <a:noFill/>
          </a:endParaRPr>
        </a:p>
      </xdr:txBody>
    </xdr:sp>
    <xdr:clientData/>
  </xdr:twoCellAnchor>
  <xdr:oneCellAnchor>
    <xdr:from>
      <xdr:col>31</xdr:col>
      <xdr:colOff>144517</xdr:colOff>
      <xdr:row>25</xdr:row>
      <xdr:rowOff>39414</xdr:rowOff>
    </xdr:from>
    <xdr:ext cx="184731" cy="264560"/>
    <xdr:sp macro="" textlink="">
      <xdr:nvSpPr>
        <xdr:cNvPr id="12" name="TextBox 11">
          <a:extLst>
            <a:ext uri="{FF2B5EF4-FFF2-40B4-BE49-F238E27FC236}">
              <a16:creationId xmlns:a16="http://schemas.microsoft.com/office/drawing/2014/main" id="{5B194DE5-BF07-49D6-B7B3-25AE061022F3}"/>
            </a:ext>
          </a:extLst>
        </xdr:cNvPr>
        <xdr:cNvSpPr txBox="1"/>
      </xdr:nvSpPr>
      <xdr:spPr>
        <a:xfrm>
          <a:off x="19042117" y="461141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19</xdr:col>
      <xdr:colOff>324506</xdr:colOff>
      <xdr:row>20</xdr:row>
      <xdr:rowOff>101162</xdr:rowOff>
    </xdr:from>
    <xdr:to>
      <xdr:col>21</xdr:col>
      <xdr:colOff>30217</xdr:colOff>
      <xdr:row>25</xdr:row>
      <xdr:rowOff>95907</xdr:rowOff>
    </xdr:to>
    <xdr:sp macro="" textlink="">
      <xdr:nvSpPr>
        <xdr:cNvPr id="13" name="TextBox 12">
          <a:extLst>
            <a:ext uri="{FF2B5EF4-FFF2-40B4-BE49-F238E27FC236}">
              <a16:creationId xmlns:a16="http://schemas.microsoft.com/office/drawing/2014/main" id="{C883E6A5-6DDF-4D9A-A3AC-D58ED70E8DC1}"/>
            </a:ext>
          </a:extLst>
        </xdr:cNvPr>
        <xdr:cNvSpPr txBox="1"/>
      </xdr:nvSpPr>
      <xdr:spPr>
        <a:xfrm>
          <a:off x="11906906" y="3758762"/>
          <a:ext cx="924911" cy="9091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oneCellAnchor>
    <xdr:from>
      <xdr:col>28</xdr:col>
      <xdr:colOff>236483</xdr:colOff>
      <xdr:row>34</xdr:row>
      <xdr:rowOff>0</xdr:rowOff>
    </xdr:from>
    <xdr:ext cx="184731" cy="264560"/>
    <xdr:sp macro="" textlink="">
      <xdr:nvSpPr>
        <xdr:cNvPr id="14" name="TextBox 13">
          <a:extLst>
            <a:ext uri="{FF2B5EF4-FFF2-40B4-BE49-F238E27FC236}">
              <a16:creationId xmlns:a16="http://schemas.microsoft.com/office/drawing/2014/main" id="{91B1E556-1F64-4838-B99D-51A36A9A2D84}"/>
            </a:ext>
          </a:extLst>
        </xdr:cNvPr>
        <xdr:cNvSpPr txBox="1"/>
      </xdr:nvSpPr>
      <xdr:spPr>
        <a:xfrm>
          <a:off x="17305283" y="62179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5</xdr:col>
      <xdr:colOff>275897</xdr:colOff>
      <xdr:row>5</xdr:row>
      <xdr:rowOff>157655</xdr:rowOff>
    </xdr:from>
    <xdr:to>
      <xdr:col>9</xdr:col>
      <xdr:colOff>486104</xdr:colOff>
      <xdr:row>8</xdr:row>
      <xdr:rowOff>157655</xdr:rowOff>
    </xdr:to>
    <xdr:sp macro="" textlink="">
      <xdr:nvSpPr>
        <xdr:cNvPr id="15" name="TextBox 14">
          <a:extLst>
            <a:ext uri="{FF2B5EF4-FFF2-40B4-BE49-F238E27FC236}">
              <a16:creationId xmlns:a16="http://schemas.microsoft.com/office/drawing/2014/main" id="{83707FE5-6283-4AF4-A37D-DF965708AEF4}"/>
            </a:ext>
          </a:extLst>
        </xdr:cNvPr>
        <xdr:cNvSpPr txBox="1"/>
      </xdr:nvSpPr>
      <xdr:spPr>
        <a:xfrm>
          <a:off x="3323897" y="1072055"/>
          <a:ext cx="2648607"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t>Avg Temperature</a:t>
          </a:r>
        </a:p>
      </xdr:txBody>
    </xdr:sp>
    <xdr:clientData/>
  </xdr:twoCellAnchor>
  <xdr:twoCellAnchor>
    <xdr:from>
      <xdr:col>19</xdr:col>
      <xdr:colOff>324506</xdr:colOff>
      <xdr:row>20</xdr:row>
      <xdr:rowOff>101162</xdr:rowOff>
    </xdr:from>
    <xdr:to>
      <xdr:col>21</xdr:col>
      <xdr:colOff>30217</xdr:colOff>
      <xdr:row>25</xdr:row>
      <xdr:rowOff>95907</xdr:rowOff>
    </xdr:to>
    <xdr:sp macro="" textlink="">
      <xdr:nvSpPr>
        <xdr:cNvPr id="16" name="TextBox 15">
          <a:extLst>
            <a:ext uri="{FF2B5EF4-FFF2-40B4-BE49-F238E27FC236}">
              <a16:creationId xmlns:a16="http://schemas.microsoft.com/office/drawing/2014/main" id="{0FCB603C-7052-4116-B316-B8A6BD90D47B}"/>
            </a:ext>
          </a:extLst>
        </xdr:cNvPr>
        <xdr:cNvSpPr txBox="1"/>
      </xdr:nvSpPr>
      <xdr:spPr>
        <a:xfrm>
          <a:off x="11906906" y="3758762"/>
          <a:ext cx="924911" cy="9091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oneCellAnchor>
    <xdr:from>
      <xdr:col>27</xdr:col>
      <xdr:colOff>236483</xdr:colOff>
      <xdr:row>31</xdr:row>
      <xdr:rowOff>52552</xdr:rowOff>
    </xdr:from>
    <xdr:ext cx="184731" cy="264560"/>
    <xdr:sp macro="" textlink="">
      <xdr:nvSpPr>
        <xdr:cNvPr id="17" name="TextBox 16">
          <a:extLst>
            <a:ext uri="{FF2B5EF4-FFF2-40B4-BE49-F238E27FC236}">
              <a16:creationId xmlns:a16="http://schemas.microsoft.com/office/drawing/2014/main" id="{3831DF4F-0FA3-455C-8B3B-2AAD099E88F7}"/>
            </a:ext>
          </a:extLst>
        </xdr:cNvPr>
        <xdr:cNvSpPr txBox="1"/>
      </xdr:nvSpPr>
      <xdr:spPr>
        <a:xfrm>
          <a:off x="16695683" y="572183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10</xdr:col>
      <xdr:colOff>197071</xdr:colOff>
      <xdr:row>5</xdr:row>
      <xdr:rowOff>157655</xdr:rowOff>
    </xdr:from>
    <xdr:to>
      <xdr:col>14</xdr:col>
      <xdr:colOff>302173</xdr:colOff>
      <xdr:row>8</xdr:row>
      <xdr:rowOff>105104</xdr:rowOff>
    </xdr:to>
    <xdr:sp macro="" textlink="">
      <xdr:nvSpPr>
        <xdr:cNvPr id="18" name="TextBox 17">
          <a:extLst>
            <a:ext uri="{FF2B5EF4-FFF2-40B4-BE49-F238E27FC236}">
              <a16:creationId xmlns:a16="http://schemas.microsoft.com/office/drawing/2014/main" id="{D5AED1FF-6A4B-4491-8C2E-B22A9E8BA639}"/>
            </a:ext>
          </a:extLst>
        </xdr:cNvPr>
        <xdr:cNvSpPr txBox="1"/>
      </xdr:nvSpPr>
      <xdr:spPr>
        <a:xfrm>
          <a:off x="6293071" y="1072055"/>
          <a:ext cx="2543502" cy="4960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t>Avg Humidity</a:t>
          </a:r>
        </a:p>
      </xdr:txBody>
    </xdr:sp>
    <xdr:clientData/>
  </xdr:twoCellAnchor>
  <xdr:twoCellAnchor>
    <xdr:from>
      <xdr:col>19</xdr:col>
      <xdr:colOff>324506</xdr:colOff>
      <xdr:row>20</xdr:row>
      <xdr:rowOff>101162</xdr:rowOff>
    </xdr:from>
    <xdr:to>
      <xdr:col>21</xdr:col>
      <xdr:colOff>30217</xdr:colOff>
      <xdr:row>25</xdr:row>
      <xdr:rowOff>95907</xdr:rowOff>
    </xdr:to>
    <xdr:sp macro="" textlink="">
      <xdr:nvSpPr>
        <xdr:cNvPr id="19" name="TextBox 18">
          <a:extLst>
            <a:ext uri="{FF2B5EF4-FFF2-40B4-BE49-F238E27FC236}">
              <a16:creationId xmlns:a16="http://schemas.microsoft.com/office/drawing/2014/main" id="{CA01AF8B-3410-46A8-9355-5F7BA7E8E0A8}"/>
            </a:ext>
          </a:extLst>
        </xdr:cNvPr>
        <xdr:cNvSpPr txBox="1"/>
      </xdr:nvSpPr>
      <xdr:spPr>
        <a:xfrm>
          <a:off x="11906906" y="3758762"/>
          <a:ext cx="924911" cy="9091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oneCellAnchor>
    <xdr:from>
      <xdr:col>28</xdr:col>
      <xdr:colOff>249621</xdr:colOff>
      <xdr:row>24</xdr:row>
      <xdr:rowOff>65689</xdr:rowOff>
    </xdr:from>
    <xdr:ext cx="184731" cy="264560"/>
    <xdr:sp macro="" textlink="">
      <xdr:nvSpPr>
        <xdr:cNvPr id="20" name="TextBox 19">
          <a:extLst>
            <a:ext uri="{FF2B5EF4-FFF2-40B4-BE49-F238E27FC236}">
              <a16:creationId xmlns:a16="http://schemas.microsoft.com/office/drawing/2014/main" id="{6E8A192A-EE73-428D-9741-BE2853B43DB9}"/>
            </a:ext>
          </a:extLst>
        </xdr:cNvPr>
        <xdr:cNvSpPr txBox="1"/>
      </xdr:nvSpPr>
      <xdr:spPr>
        <a:xfrm>
          <a:off x="17318421" y="445480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15</xdr:col>
      <xdr:colOff>65690</xdr:colOff>
      <xdr:row>5</xdr:row>
      <xdr:rowOff>91966</xdr:rowOff>
    </xdr:from>
    <xdr:to>
      <xdr:col>19</xdr:col>
      <xdr:colOff>420414</xdr:colOff>
      <xdr:row>9</xdr:row>
      <xdr:rowOff>1</xdr:rowOff>
    </xdr:to>
    <xdr:sp macro="" textlink="">
      <xdr:nvSpPr>
        <xdr:cNvPr id="21" name="TextBox 20">
          <a:extLst>
            <a:ext uri="{FF2B5EF4-FFF2-40B4-BE49-F238E27FC236}">
              <a16:creationId xmlns:a16="http://schemas.microsoft.com/office/drawing/2014/main" id="{C2AFE1B7-4E88-4449-AADC-7D2843B88E05}"/>
            </a:ext>
          </a:extLst>
        </xdr:cNvPr>
        <xdr:cNvSpPr txBox="1"/>
      </xdr:nvSpPr>
      <xdr:spPr>
        <a:xfrm>
          <a:off x="9209690" y="1006366"/>
          <a:ext cx="2793124" cy="6395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t>Total Rainfall</a:t>
          </a:r>
        </a:p>
      </xdr:txBody>
    </xdr:sp>
    <xdr:clientData/>
  </xdr:twoCellAnchor>
  <xdr:twoCellAnchor>
    <xdr:from>
      <xdr:col>20</xdr:col>
      <xdr:colOff>183930</xdr:colOff>
      <xdr:row>6</xdr:row>
      <xdr:rowOff>13138</xdr:rowOff>
    </xdr:from>
    <xdr:to>
      <xdr:col>24</xdr:col>
      <xdr:colOff>236482</xdr:colOff>
      <xdr:row>8</xdr:row>
      <xdr:rowOff>91966</xdr:rowOff>
    </xdr:to>
    <xdr:sp macro="" textlink="">
      <xdr:nvSpPr>
        <xdr:cNvPr id="22" name="TextBox 21">
          <a:extLst>
            <a:ext uri="{FF2B5EF4-FFF2-40B4-BE49-F238E27FC236}">
              <a16:creationId xmlns:a16="http://schemas.microsoft.com/office/drawing/2014/main" id="{F975CE76-54C8-476E-A2A8-23067CC9D52F}"/>
            </a:ext>
          </a:extLst>
        </xdr:cNvPr>
        <xdr:cNvSpPr txBox="1"/>
      </xdr:nvSpPr>
      <xdr:spPr>
        <a:xfrm>
          <a:off x="12375930" y="1110418"/>
          <a:ext cx="2490952" cy="444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t>Avg Wind Speed</a:t>
          </a:r>
        </a:p>
      </xdr:txBody>
    </xdr:sp>
    <xdr:clientData/>
  </xdr:twoCellAnchor>
  <xdr:twoCellAnchor>
    <xdr:from>
      <xdr:col>19</xdr:col>
      <xdr:colOff>324506</xdr:colOff>
      <xdr:row>20</xdr:row>
      <xdr:rowOff>101162</xdr:rowOff>
    </xdr:from>
    <xdr:to>
      <xdr:col>21</xdr:col>
      <xdr:colOff>30217</xdr:colOff>
      <xdr:row>25</xdr:row>
      <xdr:rowOff>95907</xdr:rowOff>
    </xdr:to>
    <xdr:sp macro="" textlink="">
      <xdr:nvSpPr>
        <xdr:cNvPr id="23" name="TextBox 22">
          <a:extLst>
            <a:ext uri="{FF2B5EF4-FFF2-40B4-BE49-F238E27FC236}">
              <a16:creationId xmlns:a16="http://schemas.microsoft.com/office/drawing/2014/main" id="{6AD23F33-2442-435A-AB9C-14B4F564E5D6}"/>
            </a:ext>
          </a:extLst>
        </xdr:cNvPr>
        <xdr:cNvSpPr txBox="1"/>
      </xdr:nvSpPr>
      <xdr:spPr>
        <a:xfrm>
          <a:off x="11906906" y="3758762"/>
          <a:ext cx="924911" cy="9091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oneCellAnchor>
    <xdr:from>
      <xdr:col>29</xdr:col>
      <xdr:colOff>262759</xdr:colOff>
      <xdr:row>33</xdr:row>
      <xdr:rowOff>91966</xdr:rowOff>
    </xdr:from>
    <xdr:ext cx="184731" cy="264560"/>
    <xdr:sp macro="" textlink="">
      <xdr:nvSpPr>
        <xdr:cNvPr id="24" name="TextBox 23">
          <a:extLst>
            <a:ext uri="{FF2B5EF4-FFF2-40B4-BE49-F238E27FC236}">
              <a16:creationId xmlns:a16="http://schemas.microsoft.com/office/drawing/2014/main" id="{9104CCCF-E88B-4853-8C18-D510AE17899E}"/>
            </a:ext>
          </a:extLst>
        </xdr:cNvPr>
        <xdr:cNvSpPr txBox="1"/>
      </xdr:nvSpPr>
      <xdr:spPr>
        <a:xfrm>
          <a:off x="17941159" y="612700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5</xdr:col>
      <xdr:colOff>45720</xdr:colOff>
      <xdr:row>23</xdr:row>
      <xdr:rowOff>130854</xdr:rowOff>
    </xdr:from>
    <xdr:to>
      <xdr:col>13</xdr:col>
      <xdr:colOff>457200</xdr:colOff>
      <xdr:row>59</xdr:row>
      <xdr:rowOff>152400</xdr:rowOff>
    </xdr:to>
    <xdr:sp macro="" textlink="">
      <xdr:nvSpPr>
        <xdr:cNvPr id="28" name="Rectangle 27">
          <a:extLst>
            <a:ext uri="{FF2B5EF4-FFF2-40B4-BE49-F238E27FC236}">
              <a16:creationId xmlns:a16="http://schemas.microsoft.com/office/drawing/2014/main" id="{BEAC0FD7-9576-4DE3-A845-4354B6DE03A8}"/>
            </a:ext>
          </a:extLst>
        </xdr:cNvPr>
        <xdr:cNvSpPr/>
      </xdr:nvSpPr>
      <xdr:spPr>
        <a:xfrm>
          <a:off x="3093720" y="4337094"/>
          <a:ext cx="5288280" cy="6605226"/>
        </a:xfrm>
        <a:prstGeom prst="rect">
          <a:avLst/>
        </a:prstGeom>
        <a:solidFill>
          <a:schemeClr val="bg1"/>
        </a:solid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5</xdr:col>
      <xdr:colOff>26274</xdr:colOff>
      <xdr:row>11</xdr:row>
      <xdr:rowOff>157655</xdr:rowOff>
    </xdr:from>
    <xdr:to>
      <xdr:col>24</xdr:col>
      <xdr:colOff>381000</xdr:colOff>
      <xdr:row>15</xdr:row>
      <xdr:rowOff>170793</xdr:rowOff>
    </xdr:to>
    <mc:AlternateContent xmlns:mc="http://schemas.openxmlformats.org/markup-compatibility/2006" xmlns:a14="http://schemas.microsoft.com/office/drawing/2010/main">
      <mc:Choice Requires="a14">
        <xdr:graphicFrame macro="">
          <xdr:nvGraphicFramePr>
            <xdr:cNvPr id="29" name="Month 6">
              <a:extLst>
                <a:ext uri="{FF2B5EF4-FFF2-40B4-BE49-F238E27FC236}">
                  <a16:creationId xmlns:a16="http://schemas.microsoft.com/office/drawing/2014/main" id="{0DCBC05B-8D69-4FDA-A113-C7E94E26253B}"/>
                </a:ext>
              </a:extLst>
            </xdr:cNvPr>
            <xdr:cNvGraphicFramePr/>
          </xdr:nvGraphicFramePr>
          <xdr:xfrm>
            <a:off x="0" y="0"/>
            <a:ext cx="0" cy="0"/>
          </xdr:xfrm>
          <a:graphic>
            <a:graphicData uri="http://schemas.microsoft.com/office/drawing/2010/slicer">
              <sle:slicer xmlns:sle="http://schemas.microsoft.com/office/drawing/2010/slicer" name="Month 6"/>
            </a:graphicData>
          </a:graphic>
        </xdr:graphicFrame>
      </mc:Choice>
      <mc:Fallback xmlns="">
        <xdr:sp macro="" textlink="">
          <xdr:nvSpPr>
            <xdr:cNvPr id="0" name=""/>
            <xdr:cNvSpPr>
              <a:spLocks noTextEdit="1"/>
            </xdr:cNvSpPr>
          </xdr:nvSpPr>
          <xdr:spPr>
            <a:xfrm>
              <a:off x="3074274" y="2169335"/>
              <a:ext cx="11937126" cy="7446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131381</xdr:colOff>
      <xdr:row>23</xdr:row>
      <xdr:rowOff>65689</xdr:rowOff>
    </xdr:from>
    <xdr:to>
      <xdr:col>11</xdr:col>
      <xdr:colOff>275897</xdr:colOff>
      <xdr:row>26</xdr:row>
      <xdr:rowOff>118243</xdr:rowOff>
    </xdr:to>
    <xdr:sp macro="" textlink="">
      <xdr:nvSpPr>
        <xdr:cNvPr id="31" name="TextBox 30">
          <a:extLst>
            <a:ext uri="{FF2B5EF4-FFF2-40B4-BE49-F238E27FC236}">
              <a16:creationId xmlns:a16="http://schemas.microsoft.com/office/drawing/2014/main" id="{F091A349-380A-438C-B59E-BAA1CDFD6460}"/>
            </a:ext>
          </a:extLst>
        </xdr:cNvPr>
        <xdr:cNvSpPr txBox="1"/>
      </xdr:nvSpPr>
      <xdr:spPr>
        <a:xfrm>
          <a:off x="3179381" y="4271929"/>
          <a:ext cx="3802116" cy="6011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2000" b="1" i="1">
            <a:solidFill>
              <a:sysClr val="windowText" lastClr="000000"/>
            </a:solidFill>
          </a:endParaRPr>
        </a:p>
      </xdr:txBody>
    </xdr:sp>
    <xdr:clientData/>
  </xdr:twoCellAnchor>
  <xdr:twoCellAnchor editAs="oneCell">
    <xdr:from>
      <xdr:col>5</xdr:col>
      <xdr:colOff>39415</xdr:colOff>
      <xdr:row>16</xdr:row>
      <xdr:rowOff>52551</xdr:rowOff>
    </xdr:from>
    <xdr:to>
      <xdr:col>19</xdr:col>
      <xdr:colOff>249621</xdr:colOff>
      <xdr:row>22</xdr:row>
      <xdr:rowOff>157655</xdr:rowOff>
    </xdr:to>
    <mc:AlternateContent xmlns:mc="http://schemas.openxmlformats.org/markup-compatibility/2006" xmlns:a14="http://schemas.microsoft.com/office/drawing/2010/main">
      <mc:Choice Requires="a14">
        <xdr:graphicFrame macro="">
          <xdr:nvGraphicFramePr>
            <xdr:cNvPr id="32" name="State 4">
              <a:extLst>
                <a:ext uri="{FF2B5EF4-FFF2-40B4-BE49-F238E27FC236}">
                  <a16:creationId xmlns:a16="http://schemas.microsoft.com/office/drawing/2014/main" id="{79826048-26E0-4A0F-ABCF-DB16A9C61688}"/>
                </a:ext>
              </a:extLst>
            </xdr:cNvPr>
            <xdr:cNvGraphicFramePr/>
          </xdr:nvGraphicFramePr>
          <xdr:xfrm>
            <a:off x="0" y="0"/>
            <a:ext cx="0" cy="0"/>
          </xdr:xfrm>
          <a:graphic>
            <a:graphicData uri="http://schemas.microsoft.com/office/drawing/2010/slicer">
              <sle:slicer xmlns:sle="http://schemas.microsoft.com/office/drawing/2010/slicer" name="State 4"/>
            </a:graphicData>
          </a:graphic>
        </xdr:graphicFrame>
      </mc:Choice>
      <mc:Fallback xmlns="">
        <xdr:sp macro="" textlink="">
          <xdr:nvSpPr>
            <xdr:cNvPr id="0" name=""/>
            <xdr:cNvSpPr>
              <a:spLocks noTextEdit="1"/>
            </xdr:cNvSpPr>
          </xdr:nvSpPr>
          <xdr:spPr>
            <a:xfrm>
              <a:off x="3087415" y="2978631"/>
              <a:ext cx="8744606" cy="12023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564931</xdr:colOff>
      <xdr:row>23</xdr:row>
      <xdr:rowOff>157656</xdr:rowOff>
    </xdr:from>
    <xdr:to>
      <xdr:col>18</xdr:col>
      <xdr:colOff>13138</xdr:colOff>
      <xdr:row>26</xdr:row>
      <xdr:rowOff>118241</xdr:rowOff>
    </xdr:to>
    <xdr:sp macro="" textlink="">
      <xdr:nvSpPr>
        <xdr:cNvPr id="34" name="TextBox 33">
          <a:extLst>
            <a:ext uri="{FF2B5EF4-FFF2-40B4-BE49-F238E27FC236}">
              <a16:creationId xmlns:a16="http://schemas.microsoft.com/office/drawing/2014/main" id="{887D33EC-D2BD-424E-9ADB-635F3B5ABACD}"/>
            </a:ext>
          </a:extLst>
        </xdr:cNvPr>
        <xdr:cNvSpPr txBox="1"/>
      </xdr:nvSpPr>
      <xdr:spPr>
        <a:xfrm>
          <a:off x="7270531" y="4363896"/>
          <a:ext cx="3715407" cy="509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2000" b="1" i="1"/>
        </a:p>
      </xdr:txBody>
    </xdr:sp>
    <xdr:clientData/>
  </xdr:twoCellAnchor>
  <xdr:twoCellAnchor>
    <xdr:from>
      <xdr:col>5</xdr:col>
      <xdr:colOff>76200</xdr:colOff>
      <xdr:row>23</xdr:row>
      <xdr:rowOff>167641</xdr:rowOff>
    </xdr:from>
    <xdr:to>
      <xdr:col>13</xdr:col>
      <xdr:colOff>441959</xdr:colOff>
      <xdr:row>27</xdr:row>
      <xdr:rowOff>150299</xdr:rowOff>
    </xdr:to>
    <xdr:sp macro="" textlink="">
      <xdr:nvSpPr>
        <xdr:cNvPr id="40" name="Rectangle 39">
          <a:extLst>
            <a:ext uri="{FF2B5EF4-FFF2-40B4-BE49-F238E27FC236}">
              <a16:creationId xmlns:a16="http://schemas.microsoft.com/office/drawing/2014/main" id="{A594DA7E-A278-4910-8B63-3F90A73FCC15}"/>
            </a:ext>
          </a:extLst>
        </xdr:cNvPr>
        <xdr:cNvSpPr/>
      </xdr:nvSpPr>
      <xdr:spPr>
        <a:xfrm>
          <a:off x="3124200" y="4373881"/>
          <a:ext cx="5242559" cy="714178"/>
        </a:xfrm>
        <a:prstGeom prst="rect">
          <a:avLst/>
        </a:prstGeom>
        <a:solidFill>
          <a:srgbClr val="FF99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210207</xdr:colOff>
      <xdr:row>24</xdr:row>
      <xdr:rowOff>13138</xdr:rowOff>
    </xdr:from>
    <xdr:to>
      <xdr:col>24</xdr:col>
      <xdr:colOff>420414</xdr:colOff>
      <xdr:row>26</xdr:row>
      <xdr:rowOff>91965</xdr:rowOff>
    </xdr:to>
    <xdr:sp macro="" textlink="">
      <xdr:nvSpPr>
        <xdr:cNvPr id="41" name="TextBox 40">
          <a:extLst>
            <a:ext uri="{FF2B5EF4-FFF2-40B4-BE49-F238E27FC236}">
              <a16:creationId xmlns:a16="http://schemas.microsoft.com/office/drawing/2014/main" id="{EF62BE3C-BCE4-453D-A666-88D21D9722B3}"/>
            </a:ext>
          </a:extLst>
        </xdr:cNvPr>
        <xdr:cNvSpPr txBox="1"/>
      </xdr:nvSpPr>
      <xdr:spPr>
        <a:xfrm>
          <a:off x="11183007" y="4402258"/>
          <a:ext cx="3867807" cy="4445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2000" b="1" i="1"/>
        </a:p>
      </xdr:txBody>
    </xdr:sp>
    <xdr:clientData/>
  </xdr:twoCellAnchor>
  <xdr:twoCellAnchor editAs="oneCell">
    <xdr:from>
      <xdr:col>19</xdr:col>
      <xdr:colOff>315312</xdr:colOff>
      <xdr:row>16</xdr:row>
      <xdr:rowOff>65685</xdr:rowOff>
    </xdr:from>
    <xdr:to>
      <xdr:col>24</xdr:col>
      <xdr:colOff>426720</xdr:colOff>
      <xdr:row>22</xdr:row>
      <xdr:rowOff>131379</xdr:rowOff>
    </xdr:to>
    <mc:AlternateContent xmlns:mc="http://schemas.openxmlformats.org/markup-compatibility/2006" xmlns:a14="http://schemas.microsoft.com/office/drawing/2010/main">
      <mc:Choice Requires="a14">
        <xdr:graphicFrame macro="">
          <xdr:nvGraphicFramePr>
            <xdr:cNvPr id="42" name="Season 4">
              <a:extLst>
                <a:ext uri="{FF2B5EF4-FFF2-40B4-BE49-F238E27FC236}">
                  <a16:creationId xmlns:a16="http://schemas.microsoft.com/office/drawing/2014/main" id="{08AF0770-7C2D-4141-B6F6-F9B32ABF44F9}"/>
                </a:ext>
              </a:extLst>
            </xdr:cNvPr>
            <xdr:cNvGraphicFramePr/>
          </xdr:nvGraphicFramePr>
          <xdr:xfrm>
            <a:off x="0" y="0"/>
            <a:ext cx="0" cy="0"/>
          </xdr:xfrm>
          <a:graphic>
            <a:graphicData uri="http://schemas.microsoft.com/office/drawing/2010/slicer">
              <sle:slicer xmlns:sle="http://schemas.microsoft.com/office/drawing/2010/slicer" name="Season 4"/>
            </a:graphicData>
          </a:graphic>
        </xdr:graphicFrame>
      </mc:Choice>
      <mc:Fallback xmlns="">
        <xdr:sp macro="" textlink="">
          <xdr:nvSpPr>
            <xdr:cNvPr id="0" name=""/>
            <xdr:cNvSpPr>
              <a:spLocks noTextEdit="1"/>
            </xdr:cNvSpPr>
          </xdr:nvSpPr>
          <xdr:spPr>
            <a:xfrm>
              <a:off x="11897712" y="2991765"/>
              <a:ext cx="3159408" cy="11629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78828</xdr:colOff>
      <xdr:row>42</xdr:row>
      <xdr:rowOff>78829</xdr:rowOff>
    </xdr:from>
    <xdr:to>
      <xdr:col>11</xdr:col>
      <xdr:colOff>236483</xdr:colOff>
      <xdr:row>44</xdr:row>
      <xdr:rowOff>144518</xdr:rowOff>
    </xdr:to>
    <xdr:sp macro="" textlink="">
      <xdr:nvSpPr>
        <xdr:cNvPr id="44" name="TextBox 43">
          <a:extLst>
            <a:ext uri="{FF2B5EF4-FFF2-40B4-BE49-F238E27FC236}">
              <a16:creationId xmlns:a16="http://schemas.microsoft.com/office/drawing/2014/main" id="{01A956E6-CB22-4CAB-9D2A-76C0AE7C6549}"/>
            </a:ext>
          </a:extLst>
        </xdr:cNvPr>
        <xdr:cNvSpPr txBox="1"/>
      </xdr:nvSpPr>
      <xdr:spPr>
        <a:xfrm>
          <a:off x="3126828" y="7759789"/>
          <a:ext cx="3815255" cy="4314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endParaRPr lang="en-IN" sz="1100"/>
        </a:p>
      </xdr:txBody>
    </xdr:sp>
    <xdr:clientData/>
  </xdr:twoCellAnchor>
  <xdr:twoCellAnchor>
    <xdr:from>
      <xdr:col>5</xdr:col>
      <xdr:colOff>502920</xdr:colOff>
      <xdr:row>29</xdr:row>
      <xdr:rowOff>163960</xdr:rowOff>
    </xdr:from>
    <xdr:to>
      <xdr:col>13</xdr:col>
      <xdr:colOff>335280</xdr:colOff>
      <xdr:row>57</xdr:row>
      <xdr:rowOff>167639</xdr:rowOff>
    </xdr:to>
    <xdr:graphicFrame macro="">
      <xdr:nvGraphicFramePr>
        <xdr:cNvPr id="45" name="Chart 44">
          <a:extLst>
            <a:ext uri="{FF2B5EF4-FFF2-40B4-BE49-F238E27FC236}">
              <a16:creationId xmlns:a16="http://schemas.microsoft.com/office/drawing/2014/main" id="{268459C0-E397-495C-A862-89174D2ABC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525517</xdr:colOff>
      <xdr:row>42</xdr:row>
      <xdr:rowOff>39414</xdr:rowOff>
    </xdr:from>
    <xdr:to>
      <xdr:col>18</xdr:col>
      <xdr:colOff>78827</xdr:colOff>
      <xdr:row>44</xdr:row>
      <xdr:rowOff>131380</xdr:rowOff>
    </xdr:to>
    <xdr:sp macro="" textlink="">
      <xdr:nvSpPr>
        <xdr:cNvPr id="47" name="TextBox 46">
          <a:extLst>
            <a:ext uri="{FF2B5EF4-FFF2-40B4-BE49-F238E27FC236}">
              <a16:creationId xmlns:a16="http://schemas.microsoft.com/office/drawing/2014/main" id="{1C2DD29A-369A-4428-81B7-5C8C24273556}"/>
            </a:ext>
          </a:extLst>
        </xdr:cNvPr>
        <xdr:cNvSpPr txBox="1"/>
      </xdr:nvSpPr>
      <xdr:spPr>
        <a:xfrm>
          <a:off x="7231117" y="7720374"/>
          <a:ext cx="3820510" cy="4577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800" b="1" i="1"/>
        </a:p>
      </xdr:txBody>
    </xdr:sp>
    <xdr:clientData/>
  </xdr:twoCellAnchor>
  <xdr:twoCellAnchor>
    <xdr:from>
      <xdr:col>19</xdr:col>
      <xdr:colOff>324506</xdr:colOff>
      <xdr:row>35</xdr:row>
      <xdr:rowOff>74886</xdr:rowOff>
    </xdr:from>
    <xdr:to>
      <xdr:col>21</xdr:col>
      <xdr:colOff>30217</xdr:colOff>
      <xdr:row>40</xdr:row>
      <xdr:rowOff>69631</xdr:rowOff>
    </xdr:to>
    <xdr:sp macro="" textlink="">
      <xdr:nvSpPr>
        <xdr:cNvPr id="50" name="TextBox 49">
          <a:extLst>
            <a:ext uri="{FF2B5EF4-FFF2-40B4-BE49-F238E27FC236}">
              <a16:creationId xmlns:a16="http://schemas.microsoft.com/office/drawing/2014/main" id="{C60D2688-AB1A-454B-8DEA-54480217DDE3}"/>
            </a:ext>
          </a:extLst>
        </xdr:cNvPr>
        <xdr:cNvSpPr txBox="1"/>
      </xdr:nvSpPr>
      <xdr:spPr>
        <a:xfrm>
          <a:off x="11906906" y="6475686"/>
          <a:ext cx="924911" cy="9091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oneCellAnchor>
    <xdr:from>
      <xdr:col>27</xdr:col>
      <xdr:colOff>591207</xdr:colOff>
      <xdr:row>46</xdr:row>
      <xdr:rowOff>78827</xdr:rowOff>
    </xdr:from>
    <xdr:ext cx="184731" cy="264560"/>
    <xdr:sp macro="" textlink="">
      <xdr:nvSpPr>
        <xdr:cNvPr id="51" name="TextBox 50">
          <a:extLst>
            <a:ext uri="{FF2B5EF4-FFF2-40B4-BE49-F238E27FC236}">
              <a16:creationId xmlns:a16="http://schemas.microsoft.com/office/drawing/2014/main" id="{A417A9FF-A930-479A-92C5-4B87436A965D}"/>
            </a:ext>
          </a:extLst>
        </xdr:cNvPr>
        <xdr:cNvSpPr txBox="1"/>
      </xdr:nvSpPr>
      <xdr:spPr>
        <a:xfrm>
          <a:off x="17050407" y="849130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18</xdr:col>
      <xdr:colOff>197069</xdr:colOff>
      <xdr:row>42</xdr:row>
      <xdr:rowOff>0</xdr:rowOff>
    </xdr:from>
    <xdr:to>
      <xdr:col>24</xdr:col>
      <xdr:colOff>433552</xdr:colOff>
      <xdr:row>44</xdr:row>
      <xdr:rowOff>144517</xdr:rowOff>
    </xdr:to>
    <xdr:sp macro="" textlink="">
      <xdr:nvSpPr>
        <xdr:cNvPr id="52" name="TextBox 51">
          <a:extLst>
            <a:ext uri="{FF2B5EF4-FFF2-40B4-BE49-F238E27FC236}">
              <a16:creationId xmlns:a16="http://schemas.microsoft.com/office/drawing/2014/main" id="{5F3EC352-E505-4B24-B823-C305CB60CF30}"/>
            </a:ext>
          </a:extLst>
        </xdr:cNvPr>
        <xdr:cNvSpPr txBox="1"/>
      </xdr:nvSpPr>
      <xdr:spPr>
        <a:xfrm>
          <a:off x="11169869" y="7680960"/>
          <a:ext cx="3894083" cy="5102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2000" b="1" i="1"/>
        </a:p>
      </xdr:txBody>
    </xdr:sp>
    <xdr:clientData/>
  </xdr:twoCellAnchor>
  <xdr:twoCellAnchor>
    <xdr:from>
      <xdr:col>5</xdr:col>
      <xdr:colOff>289036</xdr:colOff>
      <xdr:row>8</xdr:row>
      <xdr:rowOff>13138</xdr:rowOff>
    </xdr:from>
    <xdr:to>
      <xdr:col>9</xdr:col>
      <xdr:colOff>381001</xdr:colOff>
      <xdr:row>11</xdr:row>
      <xdr:rowOff>0</xdr:rowOff>
    </xdr:to>
    <xdr:sp macro="" textlink="">
      <xdr:nvSpPr>
        <xdr:cNvPr id="53" name="TextBox 52">
          <a:extLst>
            <a:ext uri="{FF2B5EF4-FFF2-40B4-BE49-F238E27FC236}">
              <a16:creationId xmlns:a16="http://schemas.microsoft.com/office/drawing/2014/main" id="{E7F68703-CF15-45A4-B40B-BF7F9A7AB36B}"/>
            </a:ext>
          </a:extLst>
        </xdr:cNvPr>
        <xdr:cNvSpPr txBox="1"/>
      </xdr:nvSpPr>
      <xdr:spPr>
        <a:xfrm>
          <a:off x="3337036" y="1476178"/>
          <a:ext cx="2530365" cy="5355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600" b="1" i="0" u="none" strike="noStrike">
              <a:solidFill>
                <a:schemeClr val="dk1"/>
              </a:solidFill>
              <a:effectLst/>
              <a:latin typeface="+mn-lt"/>
              <a:ea typeface="+mn-ea"/>
              <a:cs typeface="+mn-cs"/>
            </a:rPr>
            <a:t>26.07 </a:t>
          </a:r>
          <a:endParaRPr lang="en-IN" sz="3600" b="1"/>
        </a:p>
      </xdr:txBody>
    </xdr:sp>
    <xdr:clientData/>
  </xdr:twoCellAnchor>
  <xdr:twoCellAnchor>
    <xdr:from>
      <xdr:col>19</xdr:col>
      <xdr:colOff>324506</xdr:colOff>
      <xdr:row>22</xdr:row>
      <xdr:rowOff>74886</xdr:rowOff>
    </xdr:from>
    <xdr:to>
      <xdr:col>21</xdr:col>
      <xdr:colOff>30217</xdr:colOff>
      <xdr:row>27</xdr:row>
      <xdr:rowOff>69631</xdr:rowOff>
    </xdr:to>
    <xdr:sp macro="" textlink="">
      <xdr:nvSpPr>
        <xdr:cNvPr id="54" name="TextBox 53">
          <a:extLst>
            <a:ext uri="{FF2B5EF4-FFF2-40B4-BE49-F238E27FC236}">
              <a16:creationId xmlns:a16="http://schemas.microsoft.com/office/drawing/2014/main" id="{E5E2D0BE-9766-42D3-A575-2AD801DE6792}"/>
            </a:ext>
          </a:extLst>
        </xdr:cNvPr>
        <xdr:cNvSpPr txBox="1"/>
      </xdr:nvSpPr>
      <xdr:spPr>
        <a:xfrm>
          <a:off x="11906906" y="4098246"/>
          <a:ext cx="924911" cy="9091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10</xdr:col>
      <xdr:colOff>144517</xdr:colOff>
      <xdr:row>7</xdr:row>
      <xdr:rowOff>157655</xdr:rowOff>
    </xdr:from>
    <xdr:to>
      <xdr:col>14</xdr:col>
      <xdr:colOff>486102</xdr:colOff>
      <xdr:row>11</xdr:row>
      <xdr:rowOff>13138</xdr:rowOff>
    </xdr:to>
    <xdr:sp macro="" textlink="">
      <xdr:nvSpPr>
        <xdr:cNvPr id="55" name="TextBox 54">
          <a:extLst>
            <a:ext uri="{FF2B5EF4-FFF2-40B4-BE49-F238E27FC236}">
              <a16:creationId xmlns:a16="http://schemas.microsoft.com/office/drawing/2014/main" id="{9043D56A-C0BD-4E7E-9180-ECC30B2A180E}"/>
            </a:ext>
          </a:extLst>
        </xdr:cNvPr>
        <xdr:cNvSpPr txBox="1"/>
      </xdr:nvSpPr>
      <xdr:spPr>
        <a:xfrm>
          <a:off x="6240517" y="1437815"/>
          <a:ext cx="2779985" cy="5870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600" b="1" i="0" u="none" strike="noStrike">
              <a:solidFill>
                <a:schemeClr val="dk1"/>
              </a:solidFill>
              <a:effectLst/>
              <a:latin typeface="+mn-lt"/>
              <a:ea typeface="+mn-ea"/>
              <a:cs typeface="+mn-cs"/>
            </a:rPr>
            <a:t>   64.02 </a:t>
          </a:r>
          <a:r>
            <a:rPr lang="en-IN" sz="3600"/>
            <a:t>💧</a:t>
          </a:r>
          <a:endParaRPr lang="en-IN" sz="3600" b="1" i="0"/>
        </a:p>
      </xdr:txBody>
    </xdr:sp>
    <xdr:clientData/>
  </xdr:twoCellAnchor>
  <xdr:twoCellAnchor>
    <xdr:from>
      <xdr:col>15</xdr:col>
      <xdr:colOff>118242</xdr:colOff>
      <xdr:row>7</xdr:row>
      <xdr:rowOff>131380</xdr:rowOff>
    </xdr:from>
    <xdr:to>
      <xdr:col>19</xdr:col>
      <xdr:colOff>420414</xdr:colOff>
      <xdr:row>10</xdr:row>
      <xdr:rowOff>118242</xdr:rowOff>
    </xdr:to>
    <xdr:sp macro="" textlink="">
      <xdr:nvSpPr>
        <xdr:cNvPr id="56" name="TextBox 55">
          <a:extLst>
            <a:ext uri="{FF2B5EF4-FFF2-40B4-BE49-F238E27FC236}">
              <a16:creationId xmlns:a16="http://schemas.microsoft.com/office/drawing/2014/main" id="{9CD7BFFE-F667-412D-BF97-C8D84AEAD152}"/>
            </a:ext>
          </a:extLst>
        </xdr:cNvPr>
        <xdr:cNvSpPr txBox="1"/>
      </xdr:nvSpPr>
      <xdr:spPr>
        <a:xfrm>
          <a:off x="9262242" y="1411540"/>
          <a:ext cx="2740572" cy="5355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600" b="1" i="0" u="none" strike="noStrike">
              <a:solidFill>
                <a:schemeClr val="dk1"/>
              </a:solidFill>
              <a:effectLst/>
              <a:latin typeface="+mn-lt"/>
              <a:ea typeface="+mn-ea"/>
              <a:cs typeface="+mn-cs"/>
            </a:rPr>
            <a:t>   21962</a:t>
          </a:r>
          <a:r>
            <a:rPr lang="en-IN" sz="3600" b="1">
              <a:effectLst/>
            </a:rPr>
            <a:t> </a:t>
          </a:r>
          <a:endParaRPr lang="en-IN" sz="3600" b="1"/>
        </a:p>
      </xdr:txBody>
    </xdr:sp>
    <xdr:clientData/>
  </xdr:twoCellAnchor>
  <xdr:twoCellAnchor>
    <xdr:from>
      <xdr:col>20</xdr:col>
      <xdr:colOff>78827</xdr:colOff>
      <xdr:row>8</xdr:row>
      <xdr:rowOff>39414</xdr:rowOff>
    </xdr:from>
    <xdr:to>
      <xdr:col>24</xdr:col>
      <xdr:colOff>289034</xdr:colOff>
      <xdr:row>11</xdr:row>
      <xdr:rowOff>39414</xdr:rowOff>
    </xdr:to>
    <xdr:sp macro="" textlink="">
      <xdr:nvSpPr>
        <xdr:cNvPr id="57" name="TextBox 56">
          <a:extLst>
            <a:ext uri="{FF2B5EF4-FFF2-40B4-BE49-F238E27FC236}">
              <a16:creationId xmlns:a16="http://schemas.microsoft.com/office/drawing/2014/main" id="{7672D147-48C3-49D2-84E9-EC550132FD76}"/>
            </a:ext>
          </a:extLst>
        </xdr:cNvPr>
        <xdr:cNvSpPr txBox="1"/>
      </xdr:nvSpPr>
      <xdr:spPr>
        <a:xfrm>
          <a:off x="12270827" y="1502454"/>
          <a:ext cx="2648607"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600" b="1" i="0" u="none" strike="noStrike">
              <a:solidFill>
                <a:schemeClr val="dk1"/>
              </a:solidFill>
              <a:effectLst/>
              <a:latin typeface="+mn-lt"/>
              <a:ea typeface="+mn-ea"/>
              <a:cs typeface="+mn-cs"/>
            </a:rPr>
            <a:t>  18.1</a:t>
          </a:r>
          <a:r>
            <a:rPr lang="en-IN" sz="3600" b="1">
              <a:effectLst/>
            </a:rPr>
            <a:t> </a:t>
          </a:r>
          <a:endParaRPr lang="en-IN" sz="3600" b="1"/>
        </a:p>
      </xdr:txBody>
    </xdr:sp>
    <xdr:clientData/>
  </xdr:twoCellAnchor>
  <xdr:twoCellAnchor editAs="oneCell">
    <xdr:from>
      <xdr:col>22</xdr:col>
      <xdr:colOff>183931</xdr:colOff>
      <xdr:row>8</xdr:row>
      <xdr:rowOff>21021</xdr:rowOff>
    </xdr:from>
    <xdr:to>
      <xdr:col>23</xdr:col>
      <xdr:colOff>433553</xdr:colOff>
      <xdr:row>11</xdr:row>
      <xdr:rowOff>73573</xdr:rowOff>
    </xdr:to>
    <xdr:pic>
      <xdr:nvPicPr>
        <xdr:cNvPr id="59" name="Graphic 58" descr="Leaf with solid fill">
          <a:extLst>
            <a:ext uri="{FF2B5EF4-FFF2-40B4-BE49-F238E27FC236}">
              <a16:creationId xmlns:a16="http://schemas.microsoft.com/office/drawing/2014/main" id="{8D90AC9C-830E-4DB0-85A8-E6854688831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3595131" y="1484061"/>
          <a:ext cx="859222" cy="601192"/>
        </a:xfrm>
        <a:prstGeom prst="rect">
          <a:avLst/>
        </a:prstGeom>
      </xdr:spPr>
    </xdr:pic>
    <xdr:clientData/>
  </xdr:twoCellAnchor>
  <xdr:twoCellAnchor editAs="oneCell">
    <xdr:from>
      <xdr:col>7</xdr:col>
      <xdr:colOff>499241</xdr:colOff>
      <xdr:row>7</xdr:row>
      <xdr:rowOff>178678</xdr:rowOff>
    </xdr:from>
    <xdr:to>
      <xdr:col>9</xdr:col>
      <xdr:colOff>105104</xdr:colOff>
      <xdr:row>11</xdr:row>
      <xdr:rowOff>73574</xdr:rowOff>
    </xdr:to>
    <xdr:pic>
      <xdr:nvPicPr>
        <xdr:cNvPr id="60" name="Graphic 59" descr="Sun with solid fill">
          <a:extLst>
            <a:ext uri="{FF2B5EF4-FFF2-40B4-BE49-F238E27FC236}">
              <a16:creationId xmlns:a16="http://schemas.microsoft.com/office/drawing/2014/main" id="{51EBA3B0-AF2C-438B-A0C6-43B32640DA2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766441" y="1458838"/>
          <a:ext cx="825063" cy="626416"/>
        </a:xfrm>
        <a:prstGeom prst="rect">
          <a:avLst/>
        </a:prstGeom>
      </xdr:spPr>
    </xdr:pic>
    <xdr:clientData/>
  </xdr:twoCellAnchor>
  <xdr:twoCellAnchor editAs="oneCell">
    <xdr:from>
      <xdr:col>18</xdr:col>
      <xdr:colOff>39414</xdr:colOff>
      <xdr:row>8</xdr:row>
      <xdr:rowOff>47297</xdr:rowOff>
    </xdr:from>
    <xdr:to>
      <xdr:col>19</xdr:col>
      <xdr:colOff>223346</xdr:colOff>
      <xdr:row>11</xdr:row>
      <xdr:rowOff>34159</xdr:rowOff>
    </xdr:to>
    <xdr:pic>
      <xdr:nvPicPr>
        <xdr:cNvPr id="61" name="Graphic 60" descr="Cloud with solid fill">
          <a:extLst>
            <a:ext uri="{FF2B5EF4-FFF2-40B4-BE49-F238E27FC236}">
              <a16:creationId xmlns:a16="http://schemas.microsoft.com/office/drawing/2014/main" id="{901AA41B-DD98-49F3-AB36-BC6BB7EFBA8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1012214" y="1510337"/>
          <a:ext cx="793532" cy="535502"/>
        </a:xfrm>
        <a:prstGeom prst="rect">
          <a:avLst/>
        </a:prstGeom>
      </xdr:spPr>
    </xdr:pic>
    <xdr:clientData/>
  </xdr:twoCellAnchor>
  <xdr:twoCellAnchor>
    <xdr:from>
      <xdr:col>0</xdr:col>
      <xdr:colOff>137160</xdr:colOff>
      <xdr:row>14</xdr:row>
      <xdr:rowOff>106680</xdr:rowOff>
    </xdr:from>
    <xdr:to>
      <xdr:col>4</xdr:col>
      <xdr:colOff>396240</xdr:colOff>
      <xdr:row>19</xdr:row>
      <xdr:rowOff>121920</xdr:rowOff>
    </xdr:to>
    <xdr:sp macro="" textlink="">
      <xdr:nvSpPr>
        <xdr:cNvPr id="63" name="Rectangle: Rounded Corners 62">
          <a:hlinkClick xmlns:r="http://schemas.openxmlformats.org/officeDocument/2006/relationships" r:id="rId9"/>
          <a:extLst>
            <a:ext uri="{FF2B5EF4-FFF2-40B4-BE49-F238E27FC236}">
              <a16:creationId xmlns:a16="http://schemas.microsoft.com/office/drawing/2014/main" id="{4E8E32B0-DDB1-4236-9794-CCF6862AEB3E}"/>
            </a:ext>
          </a:extLst>
        </xdr:cNvPr>
        <xdr:cNvSpPr/>
      </xdr:nvSpPr>
      <xdr:spPr>
        <a:xfrm>
          <a:off x="137160" y="2667000"/>
          <a:ext cx="2697480" cy="929640"/>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243840</xdr:colOff>
      <xdr:row>23</xdr:row>
      <xdr:rowOff>0</xdr:rowOff>
    </xdr:from>
    <xdr:to>
      <xdr:col>4</xdr:col>
      <xdr:colOff>167640</xdr:colOff>
      <xdr:row>28</xdr:row>
      <xdr:rowOff>160020</xdr:rowOff>
    </xdr:to>
    <xdr:sp macro="" textlink="">
      <xdr:nvSpPr>
        <xdr:cNvPr id="64" name="TextBox 63">
          <a:extLst>
            <a:ext uri="{FF2B5EF4-FFF2-40B4-BE49-F238E27FC236}">
              <a16:creationId xmlns:a16="http://schemas.microsoft.com/office/drawing/2014/main" id="{A54D1665-43E2-449B-94E9-EDF1F50C0AA6}"/>
            </a:ext>
          </a:extLst>
        </xdr:cNvPr>
        <xdr:cNvSpPr txBox="1"/>
      </xdr:nvSpPr>
      <xdr:spPr>
        <a:xfrm>
          <a:off x="243840" y="4206240"/>
          <a:ext cx="2362200" cy="1074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3200">
            <a:solidFill>
              <a:srgbClr val="FF0000"/>
            </a:solidFill>
          </a:endParaRPr>
        </a:p>
      </xdr:txBody>
    </xdr:sp>
    <xdr:clientData/>
  </xdr:twoCellAnchor>
  <xdr:oneCellAnchor>
    <xdr:from>
      <xdr:col>28</xdr:col>
      <xdr:colOff>350520</xdr:colOff>
      <xdr:row>40</xdr:row>
      <xdr:rowOff>76200</xdr:rowOff>
    </xdr:from>
    <xdr:ext cx="184731" cy="264560"/>
    <xdr:sp macro="" textlink="">
      <xdr:nvSpPr>
        <xdr:cNvPr id="65" name="TextBox 64">
          <a:extLst>
            <a:ext uri="{FF2B5EF4-FFF2-40B4-BE49-F238E27FC236}">
              <a16:creationId xmlns:a16="http://schemas.microsoft.com/office/drawing/2014/main" id="{642F4DAD-E95D-487F-BDA0-B8EF742011B0}"/>
            </a:ext>
          </a:extLst>
        </xdr:cNvPr>
        <xdr:cNvSpPr txBox="1"/>
      </xdr:nvSpPr>
      <xdr:spPr>
        <a:xfrm>
          <a:off x="17419320" y="739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0</xdr:col>
      <xdr:colOff>106680</xdr:colOff>
      <xdr:row>21</xdr:row>
      <xdr:rowOff>60960</xdr:rowOff>
    </xdr:from>
    <xdr:to>
      <xdr:col>4</xdr:col>
      <xdr:colOff>381000</xdr:colOff>
      <xdr:row>26</xdr:row>
      <xdr:rowOff>76200</xdr:rowOff>
    </xdr:to>
    <xdr:sp macro="" textlink="">
      <xdr:nvSpPr>
        <xdr:cNvPr id="66" name="Rectangle: Rounded Corners 65">
          <a:extLst>
            <a:ext uri="{FF2B5EF4-FFF2-40B4-BE49-F238E27FC236}">
              <a16:creationId xmlns:a16="http://schemas.microsoft.com/office/drawing/2014/main" id="{007CB8E7-FEAA-4321-84A2-5E1F9C0E80E3}"/>
            </a:ext>
          </a:extLst>
        </xdr:cNvPr>
        <xdr:cNvSpPr/>
      </xdr:nvSpPr>
      <xdr:spPr>
        <a:xfrm>
          <a:off x="106680" y="3901440"/>
          <a:ext cx="2712720" cy="929640"/>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TE</a:t>
          </a:r>
        </a:p>
      </xdr:txBody>
    </xdr:sp>
    <xdr:clientData/>
  </xdr:twoCellAnchor>
  <xdr:twoCellAnchor>
    <xdr:from>
      <xdr:col>0</xdr:col>
      <xdr:colOff>213360</xdr:colOff>
      <xdr:row>29</xdr:row>
      <xdr:rowOff>45720</xdr:rowOff>
    </xdr:from>
    <xdr:to>
      <xdr:col>4</xdr:col>
      <xdr:colOff>137160</xdr:colOff>
      <xdr:row>35</xdr:row>
      <xdr:rowOff>22860</xdr:rowOff>
    </xdr:to>
    <xdr:sp macro="" textlink="">
      <xdr:nvSpPr>
        <xdr:cNvPr id="67" name="TextBox 66">
          <a:extLst>
            <a:ext uri="{FF2B5EF4-FFF2-40B4-BE49-F238E27FC236}">
              <a16:creationId xmlns:a16="http://schemas.microsoft.com/office/drawing/2014/main" id="{8E5B4E3D-0325-4383-B111-7D44AE1E78A1}"/>
            </a:ext>
          </a:extLst>
        </xdr:cNvPr>
        <xdr:cNvSpPr txBox="1"/>
      </xdr:nvSpPr>
      <xdr:spPr>
        <a:xfrm>
          <a:off x="213360" y="5349240"/>
          <a:ext cx="2362200" cy="1074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3200">
            <a:solidFill>
              <a:srgbClr val="FF0000"/>
            </a:solidFill>
          </a:endParaRPr>
        </a:p>
      </xdr:txBody>
    </xdr:sp>
    <xdr:clientData/>
  </xdr:twoCellAnchor>
  <xdr:twoCellAnchor>
    <xdr:from>
      <xdr:col>0</xdr:col>
      <xdr:colOff>121920</xdr:colOff>
      <xdr:row>27</xdr:row>
      <xdr:rowOff>167640</xdr:rowOff>
    </xdr:from>
    <xdr:to>
      <xdr:col>4</xdr:col>
      <xdr:colOff>335280</xdr:colOff>
      <xdr:row>33</xdr:row>
      <xdr:rowOff>0</xdr:rowOff>
    </xdr:to>
    <xdr:sp macro="" textlink="">
      <xdr:nvSpPr>
        <xdr:cNvPr id="68" name="Rectangle: Rounded Corners 67">
          <a:hlinkClick xmlns:r="http://schemas.openxmlformats.org/officeDocument/2006/relationships" r:id="rId10"/>
          <a:extLst>
            <a:ext uri="{FF2B5EF4-FFF2-40B4-BE49-F238E27FC236}">
              <a16:creationId xmlns:a16="http://schemas.microsoft.com/office/drawing/2014/main" id="{FAF049F2-7F12-4422-95B6-475867BA212A}"/>
            </a:ext>
          </a:extLst>
        </xdr:cNvPr>
        <xdr:cNvSpPr/>
      </xdr:nvSpPr>
      <xdr:spPr>
        <a:xfrm>
          <a:off x="121920" y="5105400"/>
          <a:ext cx="2651760" cy="929640"/>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152400</xdr:colOff>
      <xdr:row>36</xdr:row>
      <xdr:rowOff>76200</xdr:rowOff>
    </xdr:from>
    <xdr:to>
      <xdr:col>4</xdr:col>
      <xdr:colOff>76200</xdr:colOff>
      <xdr:row>42</xdr:row>
      <xdr:rowOff>53340</xdr:rowOff>
    </xdr:to>
    <xdr:sp macro="" textlink="">
      <xdr:nvSpPr>
        <xdr:cNvPr id="69" name="TextBox 68">
          <a:hlinkClick xmlns:r="http://schemas.openxmlformats.org/officeDocument/2006/relationships" r:id="rId11"/>
          <a:extLst>
            <a:ext uri="{FF2B5EF4-FFF2-40B4-BE49-F238E27FC236}">
              <a16:creationId xmlns:a16="http://schemas.microsoft.com/office/drawing/2014/main" id="{29FF1DCF-12C6-4394-9E02-8F941FDEBF7D}"/>
            </a:ext>
          </a:extLst>
        </xdr:cNvPr>
        <xdr:cNvSpPr txBox="1"/>
      </xdr:nvSpPr>
      <xdr:spPr>
        <a:xfrm>
          <a:off x="152400" y="6659880"/>
          <a:ext cx="2362200" cy="1074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3200">
            <a:solidFill>
              <a:srgbClr val="FF0000"/>
            </a:solidFill>
          </a:endParaRPr>
        </a:p>
      </xdr:txBody>
    </xdr:sp>
    <xdr:clientData/>
  </xdr:twoCellAnchor>
  <xdr:twoCellAnchor>
    <xdr:from>
      <xdr:col>0</xdr:col>
      <xdr:colOff>106680</xdr:colOff>
      <xdr:row>34</xdr:row>
      <xdr:rowOff>152400</xdr:rowOff>
    </xdr:from>
    <xdr:to>
      <xdr:col>4</xdr:col>
      <xdr:colOff>365760</xdr:colOff>
      <xdr:row>39</xdr:row>
      <xdr:rowOff>167640</xdr:rowOff>
    </xdr:to>
    <xdr:sp macro="" textlink="">
      <xdr:nvSpPr>
        <xdr:cNvPr id="70" name="Rectangle: Rounded Corners 69">
          <a:extLst>
            <a:ext uri="{FF2B5EF4-FFF2-40B4-BE49-F238E27FC236}">
              <a16:creationId xmlns:a16="http://schemas.microsoft.com/office/drawing/2014/main" id="{F6F94C26-1259-4E80-B93E-DB97B25FB4C5}"/>
            </a:ext>
          </a:extLst>
        </xdr:cNvPr>
        <xdr:cNvSpPr/>
      </xdr:nvSpPr>
      <xdr:spPr>
        <a:xfrm>
          <a:off x="106680" y="6370320"/>
          <a:ext cx="2697480" cy="929640"/>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198120</xdr:colOff>
      <xdr:row>42</xdr:row>
      <xdr:rowOff>45720</xdr:rowOff>
    </xdr:from>
    <xdr:to>
      <xdr:col>4</xdr:col>
      <xdr:colOff>121920</xdr:colOff>
      <xdr:row>48</xdr:row>
      <xdr:rowOff>22860</xdr:rowOff>
    </xdr:to>
    <xdr:sp macro="" textlink="">
      <xdr:nvSpPr>
        <xdr:cNvPr id="71" name="TextBox 70">
          <a:extLst>
            <a:ext uri="{FF2B5EF4-FFF2-40B4-BE49-F238E27FC236}">
              <a16:creationId xmlns:a16="http://schemas.microsoft.com/office/drawing/2014/main" id="{7132EEF6-029E-4D92-8927-C937EF0E8BA9}"/>
            </a:ext>
          </a:extLst>
        </xdr:cNvPr>
        <xdr:cNvSpPr txBox="1"/>
      </xdr:nvSpPr>
      <xdr:spPr>
        <a:xfrm>
          <a:off x="198120" y="7726680"/>
          <a:ext cx="2362200" cy="1074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3200">
            <a:solidFill>
              <a:srgbClr val="FF0000"/>
            </a:solidFill>
          </a:endParaRPr>
        </a:p>
      </xdr:txBody>
    </xdr:sp>
    <xdr:clientData/>
  </xdr:twoCellAnchor>
  <xdr:twoCellAnchor>
    <xdr:from>
      <xdr:col>0</xdr:col>
      <xdr:colOff>106680</xdr:colOff>
      <xdr:row>41</xdr:row>
      <xdr:rowOff>152400</xdr:rowOff>
    </xdr:from>
    <xdr:to>
      <xdr:col>4</xdr:col>
      <xdr:colOff>350520</xdr:colOff>
      <xdr:row>46</xdr:row>
      <xdr:rowOff>167640</xdr:rowOff>
    </xdr:to>
    <xdr:sp macro="" textlink="">
      <xdr:nvSpPr>
        <xdr:cNvPr id="72" name="Rectangle: Rounded Corners 71">
          <a:hlinkClick xmlns:r="http://schemas.openxmlformats.org/officeDocument/2006/relationships" r:id="rId9"/>
          <a:extLst>
            <a:ext uri="{FF2B5EF4-FFF2-40B4-BE49-F238E27FC236}">
              <a16:creationId xmlns:a16="http://schemas.microsoft.com/office/drawing/2014/main" id="{72B827E6-B2FD-4FB4-A5B7-E112842E6DDE}"/>
            </a:ext>
          </a:extLst>
        </xdr:cNvPr>
        <xdr:cNvSpPr/>
      </xdr:nvSpPr>
      <xdr:spPr>
        <a:xfrm>
          <a:off x="106680" y="7650480"/>
          <a:ext cx="2682240" cy="929640"/>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289560</xdr:colOff>
      <xdr:row>15</xdr:row>
      <xdr:rowOff>30480</xdr:rowOff>
    </xdr:from>
    <xdr:to>
      <xdr:col>4</xdr:col>
      <xdr:colOff>411480</xdr:colOff>
      <xdr:row>19</xdr:row>
      <xdr:rowOff>99060</xdr:rowOff>
    </xdr:to>
    <xdr:sp macro="" textlink="">
      <xdr:nvSpPr>
        <xdr:cNvPr id="73" name="TextBox 72">
          <a:extLst>
            <a:ext uri="{FF2B5EF4-FFF2-40B4-BE49-F238E27FC236}">
              <a16:creationId xmlns:a16="http://schemas.microsoft.com/office/drawing/2014/main" id="{0722533F-A25C-481A-8B1F-1BE0AF1A6D99}"/>
            </a:ext>
          </a:extLst>
        </xdr:cNvPr>
        <xdr:cNvSpPr txBox="1"/>
      </xdr:nvSpPr>
      <xdr:spPr>
        <a:xfrm>
          <a:off x="289560" y="2773680"/>
          <a:ext cx="2560320" cy="800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b="1">
              <a:solidFill>
                <a:schemeClr val="tx1"/>
              </a:solidFill>
            </a:rPr>
            <a:t>DASHBOARD</a:t>
          </a:r>
        </a:p>
      </xdr:txBody>
    </xdr:sp>
    <xdr:clientData/>
  </xdr:twoCellAnchor>
  <xdr:twoCellAnchor>
    <xdr:from>
      <xdr:col>30</xdr:col>
      <xdr:colOff>15240</xdr:colOff>
      <xdr:row>48</xdr:row>
      <xdr:rowOff>60961</xdr:rowOff>
    </xdr:from>
    <xdr:to>
      <xdr:col>36</xdr:col>
      <xdr:colOff>213360</xdr:colOff>
      <xdr:row>50</xdr:row>
      <xdr:rowOff>167640</xdr:rowOff>
    </xdr:to>
    <xdr:sp macro="" textlink="">
      <xdr:nvSpPr>
        <xdr:cNvPr id="74" name="TextBox 73">
          <a:extLst>
            <a:ext uri="{FF2B5EF4-FFF2-40B4-BE49-F238E27FC236}">
              <a16:creationId xmlns:a16="http://schemas.microsoft.com/office/drawing/2014/main" id="{EBB958C9-14EF-4116-A24E-130F697B8CA5}"/>
            </a:ext>
          </a:extLst>
        </xdr:cNvPr>
        <xdr:cNvSpPr txBox="1"/>
      </xdr:nvSpPr>
      <xdr:spPr>
        <a:xfrm>
          <a:off x="18303240" y="8839201"/>
          <a:ext cx="3855720" cy="4724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0</xdr:col>
      <xdr:colOff>243840</xdr:colOff>
      <xdr:row>21</xdr:row>
      <xdr:rowOff>121920</xdr:rowOff>
    </xdr:from>
    <xdr:to>
      <xdr:col>4</xdr:col>
      <xdr:colOff>289560</xdr:colOff>
      <xdr:row>26</xdr:row>
      <xdr:rowOff>91440</xdr:rowOff>
    </xdr:to>
    <xdr:sp macro="" textlink="">
      <xdr:nvSpPr>
        <xdr:cNvPr id="75" name="TextBox 74">
          <a:hlinkClick xmlns:r="http://schemas.openxmlformats.org/officeDocument/2006/relationships" r:id="rId10"/>
          <a:extLst>
            <a:ext uri="{FF2B5EF4-FFF2-40B4-BE49-F238E27FC236}">
              <a16:creationId xmlns:a16="http://schemas.microsoft.com/office/drawing/2014/main" id="{39B78AD7-C959-4F0F-8E68-3D2BC2472DA6}"/>
            </a:ext>
          </a:extLst>
        </xdr:cNvPr>
        <xdr:cNvSpPr txBox="1"/>
      </xdr:nvSpPr>
      <xdr:spPr>
        <a:xfrm>
          <a:off x="243840" y="3962400"/>
          <a:ext cx="2484120" cy="883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a:solidFill>
                <a:sysClr val="windowText" lastClr="000000"/>
              </a:solidFill>
            </a:rPr>
            <a:t>TEMPERATURE</a:t>
          </a:r>
        </a:p>
      </xdr:txBody>
    </xdr:sp>
    <xdr:clientData/>
  </xdr:twoCellAnchor>
  <xdr:twoCellAnchor>
    <xdr:from>
      <xdr:col>0</xdr:col>
      <xdr:colOff>198120</xdr:colOff>
      <xdr:row>28</xdr:row>
      <xdr:rowOff>91440</xdr:rowOff>
    </xdr:from>
    <xdr:to>
      <xdr:col>4</xdr:col>
      <xdr:colOff>274320</xdr:colOff>
      <xdr:row>32</xdr:row>
      <xdr:rowOff>91440</xdr:rowOff>
    </xdr:to>
    <xdr:sp macro="" textlink="">
      <xdr:nvSpPr>
        <xdr:cNvPr id="76" name="TextBox 75">
          <a:hlinkClick xmlns:r="http://schemas.openxmlformats.org/officeDocument/2006/relationships" r:id="rId1"/>
          <a:extLst>
            <a:ext uri="{FF2B5EF4-FFF2-40B4-BE49-F238E27FC236}">
              <a16:creationId xmlns:a16="http://schemas.microsoft.com/office/drawing/2014/main" id="{87CFB9B8-9A81-4995-A340-972F94294DA3}"/>
            </a:ext>
          </a:extLst>
        </xdr:cNvPr>
        <xdr:cNvSpPr txBox="1"/>
      </xdr:nvSpPr>
      <xdr:spPr>
        <a:xfrm>
          <a:off x="198120" y="5212080"/>
          <a:ext cx="2514600" cy="731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b="1"/>
            <a:t>HUMIDITY</a:t>
          </a:r>
        </a:p>
      </xdr:txBody>
    </xdr:sp>
    <xdr:clientData/>
  </xdr:twoCellAnchor>
  <xdr:twoCellAnchor>
    <xdr:from>
      <xdr:col>0</xdr:col>
      <xdr:colOff>137160</xdr:colOff>
      <xdr:row>35</xdr:row>
      <xdr:rowOff>30480</xdr:rowOff>
    </xdr:from>
    <xdr:to>
      <xdr:col>4</xdr:col>
      <xdr:colOff>289560</xdr:colOff>
      <xdr:row>40</xdr:row>
      <xdr:rowOff>30480</xdr:rowOff>
    </xdr:to>
    <xdr:sp macro="" textlink="">
      <xdr:nvSpPr>
        <xdr:cNvPr id="77" name="TextBox 76">
          <a:hlinkClick xmlns:r="http://schemas.openxmlformats.org/officeDocument/2006/relationships" r:id="rId1"/>
          <a:extLst>
            <a:ext uri="{FF2B5EF4-FFF2-40B4-BE49-F238E27FC236}">
              <a16:creationId xmlns:a16="http://schemas.microsoft.com/office/drawing/2014/main" id="{93894518-E2B9-448A-8DF5-14C18A8D5953}"/>
            </a:ext>
          </a:extLst>
        </xdr:cNvPr>
        <xdr:cNvSpPr txBox="1"/>
      </xdr:nvSpPr>
      <xdr:spPr>
        <a:xfrm>
          <a:off x="137160" y="6431280"/>
          <a:ext cx="259080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b="1"/>
            <a:t>WEATHER</a:t>
          </a:r>
        </a:p>
      </xdr:txBody>
    </xdr:sp>
    <xdr:clientData/>
  </xdr:twoCellAnchor>
  <xdr:twoCellAnchor>
    <xdr:from>
      <xdr:col>0</xdr:col>
      <xdr:colOff>152400</xdr:colOff>
      <xdr:row>42</xdr:row>
      <xdr:rowOff>30480</xdr:rowOff>
    </xdr:from>
    <xdr:to>
      <xdr:col>4</xdr:col>
      <xdr:colOff>274320</xdr:colOff>
      <xdr:row>46</xdr:row>
      <xdr:rowOff>121920</xdr:rowOff>
    </xdr:to>
    <xdr:sp macro="" textlink="">
      <xdr:nvSpPr>
        <xdr:cNvPr id="78" name="TextBox 77">
          <a:extLst>
            <a:ext uri="{FF2B5EF4-FFF2-40B4-BE49-F238E27FC236}">
              <a16:creationId xmlns:a16="http://schemas.microsoft.com/office/drawing/2014/main" id="{4393DA20-F353-4BA0-A510-3D768C59B0BD}"/>
            </a:ext>
          </a:extLst>
        </xdr:cNvPr>
        <xdr:cNvSpPr txBox="1"/>
      </xdr:nvSpPr>
      <xdr:spPr>
        <a:xfrm>
          <a:off x="152400" y="7711440"/>
          <a:ext cx="2560320" cy="822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b="1"/>
            <a:t>RAINFALL</a:t>
          </a:r>
        </a:p>
      </xdr:txBody>
    </xdr:sp>
    <xdr:clientData/>
  </xdr:twoCellAnchor>
  <xdr:twoCellAnchor editAs="oneCell">
    <xdr:from>
      <xdr:col>5</xdr:col>
      <xdr:colOff>579120</xdr:colOff>
      <xdr:row>23</xdr:row>
      <xdr:rowOff>152400</xdr:rowOff>
    </xdr:from>
    <xdr:to>
      <xdr:col>13</xdr:col>
      <xdr:colOff>320040</xdr:colOff>
      <xdr:row>28</xdr:row>
      <xdr:rowOff>30480</xdr:rowOff>
    </xdr:to>
    <xdr:pic>
      <xdr:nvPicPr>
        <xdr:cNvPr id="79" name="Picture 78">
          <a:extLst>
            <a:ext uri="{FF2B5EF4-FFF2-40B4-BE49-F238E27FC236}">
              <a16:creationId xmlns:a16="http://schemas.microsoft.com/office/drawing/2014/main" id="{AD7F8312-C121-898D-EDC6-30565A7256D8}"/>
            </a:ext>
          </a:extLst>
        </xdr:cNvPr>
        <xdr:cNvPicPr>
          <a:picLocks noChangeAspect="1"/>
        </xdr:cNvPicPr>
      </xdr:nvPicPr>
      <xdr:blipFill>
        <a:blip xmlns:r="http://schemas.openxmlformats.org/officeDocument/2006/relationships" r:embed="rId12"/>
        <a:stretch>
          <a:fillRect/>
        </a:stretch>
      </xdr:blipFill>
      <xdr:spPr>
        <a:xfrm>
          <a:off x="3627120" y="4358640"/>
          <a:ext cx="4617720" cy="792480"/>
        </a:xfrm>
        <a:prstGeom prst="rect">
          <a:avLst/>
        </a:prstGeom>
      </xdr:spPr>
    </xdr:pic>
    <xdr:clientData/>
  </xdr:twoCellAnchor>
  <xdr:twoCellAnchor>
    <xdr:from>
      <xdr:col>14</xdr:col>
      <xdr:colOff>441960</xdr:colOff>
      <xdr:row>25</xdr:row>
      <xdr:rowOff>76200</xdr:rowOff>
    </xdr:from>
    <xdr:to>
      <xdr:col>22</xdr:col>
      <xdr:colOff>457200</xdr:colOff>
      <xdr:row>58</xdr:row>
      <xdr:rowOff>152400</xdr:rowOff>
    </xdr:to>
    <xdr:sp macro="" textlink="">
      <xdr:nvSpPr>
        <xdr:cNvPr id="80" name="Oval 79">
          <a:extLst>
            <a:ext uri="{FF2B5EF4-FFF2-40B4-BE49-F238E27FC236}">
              <a16:creationId xmlns:a16="http://schemas.microsoft.com/office/drawing/2014/main" id="{DBE74BEA-CE35-2914-3152-FEE739E49778}"/>
            </a:ext>
          </a:extLst>
        </xdr:cNvPr>
        <xdr:cNvSpPr/>
      </xdr:nvSpPr>
      <xdr:spPr>
        <a:xfrm>
          <a:off x="8976360" y="4648200"/>
          <a:ext cx="4892040" cy="6111240"/>
        </a:xfrm>
        <a:prstGeom prst="ellipse">
          <a:avLst/>
        </a:prstGeom>
        <a:solidFill>
          <a:srgbClr val="FBCBA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396240</xdr:colOff>
      <xdr:row>31</xdr:row>
      <xdr:rowOff>106680</xdr:rowOff>
    </xdr:from>
    <xdr:to>
      <xdr:col>21</xdr:col>
      <xdr:colOff>563880</xdr:colOff>
      <xdr:row>56</xdr:row>
      <xdr:rowOff>45720</xdr:rowOff>
    </xdr:to>
    <xdr:sp macro="" textlink="">
      <xdr:nvSpPr>
        <xdr:cNvPr id="6145" name="Text Box 1">
          <a:extLst>
            <a:ext uri="{FF2B5EF4-FFF2-40B4-BE49-F238E27FC236}">
              <a16:creationId xmlns:a16="http://schemas.microsoft.com/office/drawing/2014/main" id="{746678FA-2E45-EDB4-EAAA-9BA52590CB03}"/>
            </a:ext>
          </a:extLst>
        </xdr:cNvPr>
        <xdr:cNvSpPr txBox="1">
          <a:spLocks noChangeArrowheads="1"/>
        </xdr:cNvSpPr>
      </xdr:nvSpPr>
      <xdr:spPr bwMode="auto">
        <a:xfrm>
          <a:off x="9540240" y="5775960"/>
          <a:ext cx="3825240" cy="4511040"/>
        </a:xfrm>
        <a:prstGeom prst="rect">
          <a:avLst/>
        </a:prstGeom>
        <a:noFill/>
        <a:ln w="9525">
          <a:noFill/>
          <a:miter lim="800000"/>
          <a:headEnd/>
          <a:tailEnd/>
        </a:ln>
      </xdr:spPr>
      <xdr:txBody>
        <a:bodyPr vertOverflow="clip" wrap="square" lIns="27432" tIns="18288" rIns="0" bIns="0" anchor="t" upright="1"/>
        <a:lstStyle/>
        <a:p>
          <a:pPr algn="ctr" rtl="0">
            <a:defRPr sz="1000"/>
          </a:pPr>
          <a:r>
            <a:rPr lang="en-IN" sz="2800" b="0" i="0" u="none" strike="noStrike" baseline="0">
              <a:solidFill>
                <a:srgbClr val="000000"/>
              </a:solidFill>
              <a:latin typeface="Calibri"/>
              <a:ea typeface="Calibri"/>
              <a:cs typeface="Calibri"/>
            </a:rPr>
            <a:t>This pie chart shows the distribution of seasons across states, highlighting how data is divided among different seasons and helping to understand overall seasonal patterns</a:t>
          </a:r>
          <a:r>
            <a:rPr lang="en-IN" sz="1100" b="0" i="0" u="none" strike="noStrike" baseline="0">
              <a:solidFill>
                <a:srgbClr val="000000"/>
              </a:solidFill>
              <a:latin typeface="Calibri"/>
              <a:ea typeface="Calibri"/>
              <a:cs typeface="Calibri"/>
            </a:rPr>
            <a:t>.</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22860</xdr:colOff>
      <xdr:row>0</xdr:row>
      <xdr:rowOff>0</xdr:rowOff>
    </xdr:from>
    <xdr:to>
      <xdr:col>24</xdr:col>
      <xdr:colOff>564931</xdr:colOff>
      <xdr:row>60</xdr:row>
      <xdr:rowOff>100900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6BF8BDF8-2E0A-4325-A7BC-85CA0DA33E0E}"/>
            </a:ext>
          </a:extLst>
        </xdr:cNvPr>
        <xdr:cNvSpPr/>
      </xdr:nvSpPr>
      <xdr:spPr>
        <a:xfrm>
          <a:off x="22860" y="0"/>
          <a:ext cx="15172471" cy="11073700"/>
        </a:xfrm>
        <a:prstGeom prst="roundRect">
          <a:avLst>
            <a:gd name="adj" fmla="val 1"/>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459828</xdr:colOff>
      <xdr:row>0</xdr:row>
      <xdr:rowOff>94067</xdr:rowOff>
    </xdr:from>
    <xdr:to>
      <xdr:col>24</xdr:col>
      <xdr:colOff>551793</xdr:colOff>
      <xdr:row>60</xdr:row>
      <xdr:rowOff>91440</xdr:rowOff>
    </xdr:to>
    <xdr:sp macro="" textlink="">
      <xdr:nvSpPr>
        <xdr:cNvPr id="3" name="Rectangle: Rounded Corners 2">
          <a:extLst>
            <a:ext uri="{FF2B5EF4-FFF2-40B4-BE49-F238E27FC236}">
              <a16:creationId xmlns:a16="http://schemas.microsoft.com/office/drawing/2014/main" id="{F3F2A441-6C5D-4ADD-9683-53D3CEE4364D}"/>
            </a:ext>
          </a:extLst>
        </xdr:cNvPr>
        <xdr:cNvSpPr/>
      </xdr:nvSpPr>
      <xdr:spPr>
        <a:xfrm>
          <a:off x="2898228" y="94067"/>
          <a:ext cx="12283965" cy="10970173"/>
        </a:xfrm>
        <a:prstGeom prst="roundRect">
          <a:avLst>
            <a:gd name="adj" fmla="val 1"/>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533400</xdr:colOff>
      <xdr:row>0</xdr:row>
      <xdr:rowOff>152400</xdr:rowOff>
    </xdr:from>
    <xdr:to>
      <xdr:col>24</xdr:col>
      <xdr:colOff>426720</xdr:colOff>
      <xdr:row>5</xdr:row>
      <xdr:rowOff>60960</xdr:rowOff>
    </xdr:to>
    <xdr:sp macro="" textlink="">
      <xdr:nvSpPr>
        <xdr:cNvPr id="4" name="Rectangle 3">
          <a:extLst>
            <a:ext uri="{FF2B5EF4-FFF2-40B4-BE49-F238E27FC236}">
              <a16:creationId xmlns:a16="http://schemas.microsoft.com/office/drawing/2014/main" id="{DAB4C47F-64D4-42B5-9A0B-D9EE85D2D2EB}"/>
            </a:ext>
          </a:extLst>
        </xdr:cNvPr>
        <xdr:cNvSpPr/>
      </xdr:nvSpPr>
      <xdr:spPr>
        <a:xfrm>
          <a:off x="2971800" y="152400"/>
          <a:ext cx="12085320" cy="822960"/>
        </a:xfrm>
        <a:prstGeom prst="rect">
          <a:avLst/>
        </a:prstGeom>
        <a:solidFill>
          <a:srgbClr val="002060"/>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433552</xdr:colOff>
      <xdr:row>0</xdr:row>
      <xdr:rowOff>157656</xdr:rowOff>
    </xdr:from>
    <xdr:to>
      <xdr:col>22</xdr:col>
      <xdr:colOff>65690</xdr:colOff>
      <xdr:row>4</xdr:row>
      <xdr:rowOff>157656</xdr:rowOff>
    </xdr:to>
    <xdr:sp macro="" textlink="">
      <xdr:nvSpPr>
        <xdr:cNvPr id="5" name="TextBox 4">
          <a:extLst>
            <a:ext uri="{FF2B5EF4-FFF2-40B4-BE49-F238E27FC236}">
              <a16:creationId xmlns:a16="http://schemas.microsoft.com/office/drawing/2014/main" id="{0158F629-82C1-4CDB-8E08-D65FF9983AF6}"/>
            </a:ext>
          </a:extLst>
        </xdr:cNvPr>
        <xdr:cNvSpPr txBox="1"/>
      </xdr:nvSpPr>
      <xdr:spPr>
        <a:xfrm>
          <a:off x="4700752" y="157656"/>
          <a:ext cx="8776138" cy="731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6000">
              <a:solidFill>
                <a:schemeClr val="bg1"/>
              </a:solidFill>
            </a:rPr>
            <a:t>  WEATHER DATA</a:t>
          </a:r>
          <a:r>
            <a:rPr lang="en-IN" sz="6000" baseline="0">
              <a:solidFill>
                <a:schemeClr val="bg1"/>
              </a:solidFill>
            </a:rPr>
            <a:t> ANALYSIS</a:t>
          </a:r>
          <a:endParaRPr lang="en-IN" sz="6000">
            <a:solidFill>
              <a:schemeClr val="bg1"/>
            </a:solidFill>
          </a:endParaRPr>
        </a:p>
      </xdr:txBody>
    </xdr:sp>
    <xdr:clientData/>
  </xdr:twoCellAnchor>
  <xdr:twoCellAnchor>
    <xdr:from>
      <xdr:col>4</xdr:col>
      <xdr:colOff>604344</xdr:colOff>
      <xdr:row>5</xdr:row>
      <xdr:rowOff>157656</xdr:rowOff>
    </xdr:from>
    <xdr:to>
      <xdr:col>9</xdr:col>
      <xdr:colOff>525518</xdr:colOff>
      <xdr:row>11</xdr:row>
      <xdr:rowOff>78829</xdr:rowOff>
    </xdr:to>
    <xdr:sp macro="" textlink="">
      <xdr:nvSpPr>
        <xdr:cNvPr id="6" name="Rectangle: Rounded Corners 5">
          <a:extLst>
            <a:ext uri="{FF2B5EF4-FFF2-40B4-BE49-F238E27FC236}">
              <a16:creationId xmlns:a16="http://schemas.microsoft.com/office/drawing/2014/main" id="{698C6215-1AD8-4A33-AB22-0360AE4CC777}"/>
            </a:ext>
          </a:extLst>
        </xdr:cNvPr>
        <xdr:cNvSpPr/>
      </xdr:nvSpPr>
      <xdr:spPr>
        <a:xfrm>
          <a:off x="3042744" y="1072056"/>
          <a:ext cx="2969174" cy="1018453"/>
        </a:xfrm>
        <a:prstGeom prst="roundRect">
          <a:avLst/>
        </a:prstGeom>
        <a:solidFill>
          <a:srgbClr val="FF7DB2"/>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xdr:colOff>
      <xdr:row>5</xdr:row>
      <xdr:rowOff>144518</xdr:rowOff>
    </xdr:from>
    <xdr:to>
      <xdr:col>14</xdr:col>
      <xdr:colOff>486104</xdr:colOff>
      <xdr:row>11</xdr:row>
      <xdr:rowOff>65691</xdr:rowOff>
    </xdr:to>
    <xdr:sp macro="" textlink="">
      <xdr:nvSpPr>
        <xdr:cNvPr id="7" name="Rectangle: Rounded Corners 6">
          <a:extLst>
            <a:ext uri="{FF2B5EF4-FFF2-40B4-BE49-F238E27FC236}">
              <a16:creationId xmlns:a16="http://schemas.microsoft.com/office/drawing/2014/main" id="{8A1DF5D6-F31F-45A4-A3A0-EA1386052A1B}"/>
            </a:ext>
          </a:extLst>
        </xdr:cNvPr>
        <xdr:cNvSpPr/>
      </xdr:nvSpPr>
      <xdr:spPr>
        <a:xfrm>
          <a:off x="6096003" y="1058918"/>
          <a:ext cx="2924501" cy="1018453"/>
        </a:xfrm>
        <a:prstGeom prst="roundRect">
          <a:avLst/>
        </a:prstGeom>
        <a:solidFill>
          <a:srgbClr val="C2F4FE"/>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CCFF66"/>
            </a:solidFill>
          </a:endParaRPr>
        </a:p>
      </xdr:txBody>
    </xdr:sp>
    <xdr:clientData/>
  </xdr:twoCellAnchor>
  <xdr:twoCellAnchor>
    <xdr:from>
      <xdr:col>14</xdr:col>
      <xdr:colOff>551796</xdr:colOff>
      <xdr:row>5</xdr:row>
      <xdr:rowOff>144518</xdr:rowOff>
    </xdr:from>
    <xdr:to>
      <xdr:col>19</xdr:col>
      <xdr:colOff>472966</xdr:colOff>
      <xdr:row>11</xdr:row>
      <xdr:rowOff>65691</xdr:rowOff>
    </xdr:to>
    <xdr:sp macro="" textlink="">
      <xdr:nvSpPr>
        <xdr:cNvPr id="8" name="Rectangle: Rounded Corners 7">
          <a:extLst>
            <a:ext uri="{FF2B5EF4-FFF2-40B4-BE49-F238E27FC236}">
              <a16:creationId xmlns:a16="http://schemas.microsoft.com/office/drawing/2014/main" id="{02076065-A01B-4E50-B863-A1306C339C71}"/>
            </a:ext>
          </a:extLst>
        </xdr:cNvPr>
        <xdr:cNvSpPr/>
      </xdr:nvSpPr>
      <xdr:spPr>
        <a:xfrm>
          <a:off x="9086196" y="1058918"/>
          <a:ext cx="2969170" cy="1018453"/>
        </a:xfrm>
        <a:prstGeom prst="roundRect">
          <a:avLst/>
        </a:prstGeom>
        <a:solidFill>
          <a:srgbClr val="E4FFAF"/>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FFFF99"/>
            </a:solidFill>
          </a:endParaRPr>
        </a:p>
      </xdr:txBody>
    </xdr:sp>
    <xdr:clientData/>
  </xdr:twoCellAnchor>
  <xdr:twoCellAnchor>
    <xdr:from>
      <xdr:col>19</xdr:col>
      <xdr:colOff>538656</xdr:colOff>
      <xdr:row>5</xdr:row>
      <xdr:rowOff>157656</xdr:rowOff>
    </xdr:from>
    <xdr:to>
      <xdr:col>24</xdr:col>
      <xdr:colOff>433552</xdr:colOff>
      <xdr:row>11</xdr:row>
      <xdr:rowOff>78829</xdr:rowOff>
    </xdr:to>
    <xdr:sp macro="" textlink="">
      <xdr:nvSpPr>
        <xdr:cNvPr id="9" name="Rectangle: Rounded Corners 8">
          <a:extLst>
            <a:ext uri="{FF2B5EF4-FFF2-40B4-BE49-F238E27FC236}">
              <a16:creationId xmlns:a16="http://schemas.microsoft.com/office/drawing/2014/main" id="{22A7DEE8-298C-4846-A1D0-EA552B50009C}"/>
            </a:ext>
          </a:extLst>
        </xdr:cNvPr>
        <xdr:cNvSpPr/>
      </xdr:nvSpPr>
      <xdr:spPr>
        <a:xfrm>
          <a:off x="12121056" y="1072056"/>
          <a:ext cx="2942896" cy="1018453"/>
        </a:xfrm>
        <a:prstGeom prst="roundRect">
          <a:avLst/>
        </a:prstGeom>
        <a:solidFill>
          <a:srgbClr val="FFFFCC"/>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C2F4FE"/>
            </a:solidFill>
          </a:endParaRPr>
        </a:p>
      </xdr:txBody>
    </xdr:sp>
    <xdr:clientData/>
  </xdr:twoCellAnchor>
  <xdr:twoCellAnchor>
    <xdr:from>
      <xdr:col>19</xdr:col>
      <xdr:colOff>324506</xdr:colOff>
      <xdr:row>20</xdr:row>
      <xdr:rowOff>101162</xdr:rowOff>
    </xdr:from>
    <xdr:to>
      <xdr:col>21</xdr:col>
      <xdr:colOff>30217</xdr:colOff>
      <xdr:row>25</xdr:row>
      <xdr:rowOff>95907</xdr:rowOff>
    </xdr:to>
    <xdr:sp macro="" textlink="">
      <xdr:nvSpPr>
        <xdr:cNvPr id="10" name="TextBox 9">
          <a:extLst>
            <a:ext uri="{FF2B5EF4-FFF2-40B4-BE49-F238E27FC236}">
              <a16:creationId xmlns:a16="http://schemas.microsoft.com/office/drawing/2014/main" id="{936B0034-3C27-4F78-A0C8-0633092700CD}"/>
            </a:ext>
          </a:extLst>
        </xdr:cNvPr>
        <xdr:cNvSpPr txBox="1"/>
      </xdr:nvSpPr>
      <xdr:spPr>
        <a:xfrm>
          <a:off x="11906906" y="3758762"/>
          <a:ext cx="924911" cy="9091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19</xdr:col>
      <xdr:colOff>324506</xdr:colOff>
      <xdr:row>20</xdr:row>
      <xdr:rowOff>101162</xdr:rowOff>
    </xdr:from>
    <xdr:to>
      <xdr:col>21</xdr:col>
      <xdr:colOff>30217</xdr:colOff>
      <xdr:row>25</xdr:row>
      <xdr:rowOff>95907</xdr:rowOff>
    </xdr:to>
    <xdr:sp macro="" textlink="">
      <xdr:nvSpPr>
        <xdr:cNvPr id="11" name="TextBox 10">
          <a:extLst>
            <a:ext uri="{FF2B5EF4-FFF2-40B4-BE49-F238E27FC236}">
              <a16:creationId xmlns:a16="http://schemas.microsoft.com/office/drawing/2014/main" id="{897AF65C-F9E4-402A-8D48-53C7BC9F9CA2}"/>
            </a:ext>
          </a:extLst>
        </xdr:cNvPr>
        <xdr:cNvSpPr txBox="1"/>
      </xdr:nvSpPr>
      <xdr:spPr>
        <a:xfrm>
          <a:off x="11906906" y="3758762"/>
          <a:ext cx="924911" cy="9091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ln>
              <a:noFill/>
            </a:ln>
            <a:noFill/>
          </a:endParaRPr>
        </a:p>
      </xdr:txBody>
    </xdr:sp>
    <xdr:clientData/>
  </xdr:twoCellAnchor>
  <xdr:oneCellAnchor>
    <xdr:from>
      <xdr:col>31</xdr:col>
      <xdr:colOff>144517</xdr:colOff>
      <xdr:row>25</xdr:row>
      <xdr:rowOff>39414</xdr:rowOff>
    </xdr:from>
    <xdr:ext cx="184731" cy="264560"/>
    <xdr:sp macro="" textlink="">
      <xdr:nvSpPr>
        <xdr:cNvPr id="12" name="TextBox 11">
          <a:extLst>
            <a:ext uri="{FF2B5EF4-FFF2-40B4-BE49-F238E27FC236}">
              <a16:creationId xmlns:a16="http://schemas.microsoft.com/office/drawing/2014/main" id="{272D1CCE-2CB5-4AD8-90F9-DA35A0C8E1E4}"/>
            </a:ext>
          </a:extLst>
        </xdr:cNvPr>
        <xdr:cNvSpPr txBox="1"/>
      </xdr:nvSpPr>
      <xdr:spPr>
        <a:xfrm>
          <a:off x="19042117" y="461141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19</xdr:col>
      <xdr:colOff>324506</xdr:colOff>
      <xdr:row>20</xdr:row>
      <xdr:rowOff>101162</xdr:rowOff>
    </xdr:from>
    <xdr:to>
      <xdr:col>21</xdr:col>
      <xdr:colOff>30217</xdr:colOff>
      <xdr:row>25</xdr:row>
      <xdr:rowOff>95907</xdr:rowOff>
    </xdr:to>
    <xdr:sp macro="" textlink="">
      <xdr:nvSpPr>
        <xdr:cNvPr id="13" name="TextBox 12">
          <a:extLst>
            <a:ext uri="{FF2B5EF4-FFF2-40B4-BE49-F238E27FC236}">
              <a16:creationId xmlns:a16="http://schemas.microsoft.com/office/drawing/2014/main" id="{523CA9E0-27AD-426A-A24A-FD38CBE9E0B8}"/>
            </a:ext>
          </a:extLst>
        </xdr:cNvPr>
        <xdr:cNvSpPr txBox="1"/>
      </xdr:nvSpPr>
      <xdr:spPr>
        <a:xfrm>
          <a:off x="11906906" y="3758762"/>
          <a:ext cx="924911" cy="9091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oneCellAnchor>
    <xdr:from>
      <xdr:col>28</xdr:col>
      <xdr:colOff>236483</xdr:colOff>
      <xdr:row>34</xdr:row>
      <xdr:rowOff>0</xdr:rowOff>
    </xdr:from>
    <xdr:ext cx="184731" cy="264560"/>
    <xdr:sp macro="" textlink="">
      <xdr:nvSpPr>
        <xdr:cNvPr id="14" name="TextBox 13">
          <a:extLst>
            <a:ext uri="{FF2B5EF4-FFF2-40B4-BE49-F238E27FC236}">
              <a16:creationId xmlns:a16="http://schemas.microsoft.com/office/drawing/2014/main" id="{273D0F06-EA68-4521-A9C1-BB25D50F4B86}"/>
            </a:ext>
          </a:extLst>
        </xdr:cNvPr>
        <xdr:cNvSpPr txBox="1"/>
      </xdr:nvSpPr>
      <xdr:spPr>
        <a:xfrm>
          <a:off x="17305283" y="62179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5</xdr:col>
      <xdr:colOff>275897</xdr:colOff>
      <xdr:row>5</xdr:row>
      <xdr:rowOff>157655</xdr:rowOff>
    </xdr:from>
    <xdr:to>
      <xdr:col>9</xdr:col>
      <xdr:colOff>486104</xdr:colOff>
      <xdr:row>8</xdr:row>
      <xdr:rowOff>157655</xdr:rowOff>
    </xdr:to>
    <xdr:sp macro="" textlink="">
      <xdr:nvSpPr>
        <xdr:cNvPr id="15" name="TextBox 14">
          <a:extLst>
            <a:ext uri="{FF2B5EF4-FFF2-40B4-BE49-F238E27FC236}">
              <a16:creationId xmlns:a16="http://schemas.microsoft.com/office/drawing/2014/main" id="{50D60579-DF30-45C4-9599-A8444DD740EA}"/>
            </a:ext>
          </a:extLst>
        </xdr:cNvPr>
        <xdr:cNvSpPr txBox="1"/>
      </xdr:nvSpPr>
      <xdr:spPr>
        <a:xfrm>
          <a:off x="3323897" y="1072055"/>
          <a:ext cx="2648607"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t>Avg Temperature</a:t>
          </a:r>
        </a:p>
      </xdr:txBody>
    </xdr:sp>
    <xdr:clientData/>
  </xdr:twoCellAnchor>
  <xdr:twoCellAnchor>
    <xdr:from>
      <xdr:col>19</xdr:col>
      <xdr:colOff>324506</xdr:colOff>
      <xdr:row>20</xdr:row>
      <xdr:rowOff>101162</xdr:rowOff>
    </xdr:from>
    <xdr:to>
      <xdr:col>21</xdr:col>
      <xdr:colOff>30217</xdr:colOff>
      <xdr:row>25</xdr:row>
      <xdr:rowOff>95907</xdr:rowOff>
    </xdr:to>
    <xdr:sp macro="" textlink="">
      <xdr:nvSpPr>
        <xdr:cNvPr id="16" name="TextBox 15">
          <a:extLst>
            <a:ext uri="{FF2B5EF4-FFF2-40B4-BE49-F238E27FC236}">
              <a16:creationId xmlns:a16="http://schemas.microsoft.com/office/drawing/2014/main" id="{A1B8D30A-B3BB-44E2-A377-6BFF2193D449}"/>
            </a:ext>
          </a:extLst>
        </xdr:cNvPr>
        <xdr:cNvSpPr txBox="1"/>
      </xdr:nvSpPr>
      <xdr:spPr>
        <a:xfrm>
          <a:off x="11906906" y="3758762"/>
          <a:ext cx="924911" cy="9091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oneCellAnchor>
    <xdr:from>
      <xdr:col>27</xdr:col>
      <xdr:colOff>236483</xdr:colOff>
      <xdr:row>31</xdr:row>
      <xdr:rowOff>52552</xdr:rowOff>
    </xdr:from>
    <xdr:ext cx="184731" cy="264560"/>
    <xdr:sp macro="" textlink="">
      <xdr:nvSpPr>
        <xdr:cNvPr id="17" name="TextBox 16">
          <a:extLst>
            <a:ext uri="{FF2B5EF4-FFF2-40B4-BE49-F238E27FC236}">
              <a16:creationId xmlns:a16="http://schemas.microsoft.com/office/drawing/2014/main" id="{BD00D487-74EA-4E7B-8C5A-569E73660351}"/>
            </a:ext>
          </a:extLst>
        </xdr:cNvPr>
        <xdr:cNvSpPr txBox="1"/>
      </xdr:nvSpPr>
      <xdr:spPr>
        <a:xfrm>
          <a:off x="16695683" y="572183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10</xdr:col>
      <xdr:colOff>197071</xdr:colOff>
      <xdr:row>5</xdr:row>
      <xdr:rowOff>157655</xdr:rowOff>
    </xdr:from>
    <xdr:to>
      <xdr:col>14</xdr:col>
      <xdr:colOff>302173</xdr:colOff>
      <xdr:row>8</xdr:row>
      <xdr:rowOff>105104</xdr:rowOff>
    </xdr:to>
    <xdr:sp macro="" textlink="">
      <xdr:nvSpPr>
        <xdr:cNvPr id="18" name="TextBox 17">
          <a:extLst>
            <a:ext uri="{FF2B5EF4-FFF2-40B4-BE49-F238E27FC236}">
              <a16:creationId xmlns:a16="http://schemas.microsoft.com/office/drawing/2014/main" id="{ACD114AD-77D6-4777-9615-E3301D1B6E3B}"/>
            </a:ext>
          </a:extLst>
        </xdr:cNvPr>
        <xdr:cNvSpPr txBox="1"/>
      </xdr:nvSpPr>
      <xdr:spPr>
        <a:xfrm>
          <a:off x="6293071" y="1072055"/>
          <a:ext cx="2543502" cy="4960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t>Avg Humidity</a:t>
          </a:r>
        </a:p>
      </xdr:txBody>
    </xdr:sp>
    <xdr:clientData/>
  </xdr:twoCellAnchor>
  <xdr:twoCellAnchor>
    <xdr:from>
      <xdr:col>19</xdr:col>
      <xdr:colOff>324506</xdr:colOff>
      <xdr:row>20</xdr:row>
      <xdr:rowOff>101162</xdr:rowOff>
    </xdr:from>
    <xdr:to>
      <xdr:col>21</xdr:col>
      <xdr:colOff>30217</xdr:colOff>
      <xdr:row>25</xdr:row>
      <xdr:rowOff>95907</xdr:rowOff>
    </xdr:to>
    <xdr:sp macro="" textlink="">
      <xdr:nvSpPr>
        <xdr:cNvPr id="19" name="TextBox 18">
          <a:extLst>
            <a:ext uri="{FF2B5EF4-FFF2-40B4-BE49-F238E27FC236}">
              <a16:creationId xmlns:a16="http://schemas.microsoft.com/office/drawing/2014/main" id="{ED689B60-556D-4F60-BDF7-0E06AB7ECD9E}"/>
            </a:ext>
          </a:extLst>
        </xdr:cNvPr>
        <xdr:cNvSpPr txBox="1"/>
      </xdr:nvSpPr>
      <xdr:spPr>
        <a:xfrm>
          <a:off x="11906906" y="3758762"/>
          <a:ext cx="924911" cy="9091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oneCellAnchor>
    <xdr:from>
      <xdr:col>28</xdr:col>
      <xdr:colOff>249621</xdr:colOff>
      <xdr:row>24</xdr:row>
      <xdr:rowOff>65689</xdr:rowOff>
    </xdr:from>
    <xdr:ext cx="184731" cy="264560"/>
    <xdr:sp macro="" textlink="">
      <xdr:nvSpPr>
        <xdr:cNvPr id="20" name="TextBox 19">
          <a:extLst>
            <a:ext uri="{FF2B5EF4-FFF2-40B4-BE49-F238E27FC236}">
              <a16:creationId xmlns:a16="http://schemas.microsoft.com/office/drawing/2014/main" id="{E593EBC0-EE5A-43C6-9979-06A3B7918687}"/>
            </a:ext>
          </a:extLst>
        </xdr:cNvPr>
        <xdr:cNvSpPr txBox="1"/>
      </xdr:nvSpPr>
      <xdr:spPr>
        <a:xfrm>
          <a:off x="17318421" y="445480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15</xdr:col>
      <xdr:colOff>65690</xdr:colOff>
      <xdr:row>5</xdr:row>
      <xdr:rowOff>91966</xdr:rowOff>
    </xdr:from>
    <xdr:to>
      <xdr:col>19</xdr:col>
      <xdr:colOff>420414</xdr:colOff>
      <xdr:row>9</xdr:row>
      <xdr:rowOff>1</xdr:rowOff>
    </xdr:to>
    <xdr:sp macro="" textlink="">
      <xdr:nvSpPr>
        <xdr:cNvPr id="21" name="TextBox 20">
          <a:extLst>
            <a:ext uri="{FF2B5EF4-FFF2-40B4-BE49-F238E27FC236}">
              <a16:creationId xmlns:a16="http://schemas.microsoft.com/office/drawing/2014/main" id="{0F0B5984-B87A-4662-99B6-5F6308C57F3C}"/>
            </a:ext>
          </a:extLst>
        </xdr:cNvPr>
        <xdr:cNvSpPr txBox="1"/>
      </xdr:nvSpPr>
      <xdr:spPr>
        <a:xfrm>
          <a:off x="9209690" y="1006366"/>
          <a:ext cx="2793124" cy="6395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t>Total Rainfall</a:t>
          </a:r>
        </a:p>
      </xdr:txBody>
    </xdr:sp>
    <xdr:clientData/>
  </xdr:twoCellAnchor>
  <xdr:twoCellAnchor>
    <xdr:from>
      <xdr:col>20</xdr:col>
      <xdr:colOff>183930</xdr:colOff>
      <xdr:row>6</xdr:row>
      <xdr:rowOff>13138</xdr:rowOff>
    </xdr:from>
    <xdr:to>
      <xdr:col>24</xdr:col>
      <xdr:colOff>236482</xdr:colOff>
      <xdr:row>8</xdr:row>
      <xdr:rowOff>91966</xdr:rowOff>
    </xdr:to>
    <xdr:sp macro="" textlink="">
      <xdr:nvSpPr>
        <xdr:cNvPr id="22" name="TextBox 21">
          <a:extLst>
            <a:ext uri="{FF2B5EF4-FFF2-40B4-BE49-F238E27FC236}">
              <a16:creationId xmlns:a16="http://schemas.microsoft.com/office/drawing/2014/main" id="{64EBE5CB-4432-471D-A3F0-B6FD5C216F5D}"/>
            </a:ext>
          </a:extLst>
        </xdr:cNvPr>
        <xdr:cNvSpPr txBox="1"/>
      </xdr:nvSpPr>
      <xdr:spPr>
        <a:xfrm>
          <a:off x="12375930" y="1110418"/>
          <a:ext cx="2490952" cy="444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t>Avg Wind Speed</a:t>
          </a:r>
        </a:p>
      </xdr:txBody>
    </xdr:sp>
    <xdr:clientData/>
  </xdr:twoCellAnchor>
  <xdr:twoCellAnchor>
    <xdr:from>
      <xdr:col>19</xdr:col>
      <xdr:colOff>324506</xdr:colOff>
      <xdr:row>20</xdr:row>
      <xdr:rowOff>101162</xdr:rowOff>
    </xdr:from>
    <xdr:to>
      <xdr:col>21</xdr:col>
      <xdr:colOff>30217</xdr:colOff>
      <xdr:row>25</xdr:row>
      <xdr:rowOff>95907</xdr:rowOff>
    </xdr:to>
    <xdr:sp macro="" textlink="">
      <xdr:nvSpPr>
        <xdr:cNvPr id="23" name="TextBox 22">
          <a:extLst>
            <a:ext uri="{FF2B5EF4-FFF2-40B4-BE49-F238E27FC236}">
              <a16:creationId xmlns:a16="http://schemas.microsoft.com/office/drawing/2014/main" id="{74EA27CD-80EC-4751-A35A-3622D37FC505}"/>
            </a:ext>
          </a:extLst>
        </xdr:cNvPr>
        <xdr:cNvSpPr txBox="1"/>
      </xdr:nvSpPr>
      <xdr:spPr>
        <a:xfrm>
          <a:off x="11906906" y="3758762"/>
          <a:ext cx="924911" cy="9091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oneCellAnchor>
    <xdr:from>
      <xdr:col>29</xdr:col>
      <xdr:colOff>262759</xdr:colOff>
      <xdr:row>33</xdr:row>
      <xdr:rowOff>91966</xdr:rowOff>
    </xdr:from>
    <xdr:ext cx="184731" cy="264560"/>
    <xdr:sp macro="" textlink="">
      <xdr:nvSpPr>
        <xdr:cNvPr id="24" name="TextBox 23">
          <a:extLst>
            <a:ext uri="{FF2B5EF4-FFF2-40B4-BE49-F238E27FC236}">
              <a16:creationId xmlns:a16="http://schemas.microsoft.com/office/drawing/2014/main" id="{525C7CF8-B74A-4055-B560-8AD6E7C37033}"/>
            </a:ext>
          </a:extLst>
        </xdr:cNvPr>
        <xdr:cNvSpPr txBox="1"/>
      </xdr:nvSpPr>
      <xdr:spPr>
        <a:xfrm>
          <a:off x="17941159" y="612700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editAs="oneCell">
    <xdr:from>
      <xdr:col>5</xdr:col>
      <xdr:colOff>26274</xdr:colOff>
      <xdr:row>11</xdr:row>
      <xdr:rowOff>157655</xdr:rowOff>
    </xdr:from>
    <xdr:to>
      <xdr:col>24</xdr:col>
      <xdr:colOff>302171</xdr:colOff>
      <xdr:row>15</xdr:row>
      <xdr:rowOff>170793</xdr:rowOff>
    </xdr:to>
    <mc:AlternateContent xmlns:mc="http://schemas.openxmlformats.org/markup-compatibility/2006" xmlns:a14="http://schemas.microsoft.com/office/drawing/2010/main">
      <mc:Choice Requires="a14">
        <xdr:graphicFrame macro="">
          <xdr:nvGraphicFramePr>
            <xdr:cNvPr id="29" name="Month 7">
              <a:extLst>
                <a:ext uri="{FF2B5EF4-FFF2-40B4-BE49-F238E27FC236}">
                  <a16:creationId xmlns:a16="http://schemas.microsoft.com/office/drawing/2014/main" id="{9EFFD8A5-D2FF-4CF5-8440-B5F99B5AFDB5}"/>
                </a:ext>
              </a:extLst>
            </xdr:cNvPr>
            <xdr:cNvGraphicFramePr/>
          </xdr:nvGraphicFramePr>
          <xdr:xfrm>
            <a:off x="0" y="0"/>
            <a:ext cx="0" cy="0"/>
          </xdr:xfrm>
          <a:graphic>
            <a:graphicData uri="http://schemas.microsoft.com/office/drawing/2010/slicer">
              <sle:slicer xmlns:sle="http://schemas.microsoft.com/office/drawing/2010/slicer" name="Month 7"/>
            </a:graphicData>
          </a:graphic>
        </xdr:graphicFrame>
      </mc:Choice>
      <mc:Fallback xmlns="">
        <xdr:sp macro="" textlink="">
          <xdr:nvSpPr>
            <xdr:cNvPr id="0" name=""/>
            <xdr:cNvSpPr>
              <a:spLocks noTextEdit="1"/>
            </xdr:cNvSpPr>
          </xdr:nvSpPr>
          <xdr:spPr>
            <a:xfrm>
              <a:off x="3074274" y="2169335"/>
              <a:ext cx="11858297" cy="7446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131381</xdr:colOff>
      <xdr:row>23</xdr:row>
      <xdr:rowOff>65689</xdr:rowOff>
    </xdr:from>
    <xdr:to>
      <xdr:col>11</xdr:col>
      <xdr:colOff>275897</xdr:colOff>
      <xdr:row>26</xdr:row>
      <xdr:rowOff>118243</xdr:rowOff>
    </xdr:to>
    <xdr:sp macro="" textlink="">
      <xdr:nvSpPr>
        <xdr:cNvPr id="31" name="TextBox 30">
          <a:extLst>
            <a:ext uri="{FF2B5EF4-FFF2-40B4-BE49-F238E27FC236}">
              <a16:creationId xmlns:a16="http://schemas.microsoft.com/office/drawing/2014/main" id="{C0EC4880-0D24-4D1B-B809-6DCAB695F0FE}"/>
            </a:ext>
          </a:extLst>
        </xdr:cNvPr>
        <xdr:cNvSpPr txBox="1"/>
      </xdr:nvSpPr>
      <xdr:spPr>
        <a:xfrm>
          <a:off x="3179381" y="4271929"/>
          <a:ext cx="3802116" cy="6011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2000" b="1" i="1">
            <a:solidFill>
              <a:sysClr val="windowText" lastClr="000000"/>
            </a:solidFill>
          </a:endParaRPr>
        </a:p>
      </xdr:txBody>
    </xdr:sp>
    <xdr:clientData/>
  </xdr:twoCellAnchor>
  <xdr:twoCellAnchor editAs="oneCell">
    <xdr:from>
      <xdr:col>5</xdr:col>
      <xdr:colOff>39415</xdr:colOff>
      <xdr:row>16</xdr:row>
      <xdr:rowOff>52551</xdr:rowOff>
    </xdr:from>
    <xdr:to>
      <xdr:col>19</xdr:col>
      <xdr:colOff>249621</xdr:colOff>
      <xdr:row>22</xdr:row>
      <xdr:rowOff>157655</xdr:rowOff>
    </xdr:to>
    <mc:AlternateContent xmlns:mc="http://schemas.openxmlformats.org/markup-compatibility/2006" xmlns:a14="http://schemas.microsoft.com/office/drawing/2010/main">
      <mc:Choice Requires="a14">
        <xdr:graphicFrame macro="">
          <xdr:nvGraphicFramePr>
            <xdr:cNvPr id="32" name="State 5">
              <a:extLst>
                <a:ext uri="{FF2B5EF4-FFF2-40B4-BE49-F238E27FC236}">
                  <a16:creationId xmlns:a16="http://schemas.microsoft.com/office/drawing/2014/main" id="{4C749562-5003-4645-B9A8-9FC34A02CF3C}"/>
                </a:ext>
              </a:extLst>
            </xdr:cNvPr>
            <xdr:cNvGraphicFramePr/>
          </xdr:nvGraphicFramePr>
          <xdr:xfrm>
            <a:off x="0" y="0"/>
            <a:ext cx="0" cy="0"/>
          </xdr:xfrm>
          <a:graphic>
            <a:graphicData uri="http://schemas.microsoft.com/office/drawing/2010/slicer">
              <sle:slicer xmlns:sle="http://schemas.microsoft.com/office/drawing/2010/slicer" name="State 5"/>
            </a:graphicData>
          </a:graphic>
        </xdr:graphicFrame>
      </mc:Choice>
      <mc:Fallback xmlns="">
        <xdr:sp macro="" textlink="">
          <xdr:nvSpPr>
            <xdr:cNvPr id="0" name=""/>
            <xdr:cNvSpPr>
              <a:spLocks noTextEdit="1"/>
            </xdr:cNvSpPr>
          </xdr:nvSpPr>
          <xdr:spPr>
            <a:xfrm>
              <a:off x="3087415" y="2978631"/>
              <a:ext cx="8744606" cy="12023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564931</xdr:colOff>
      <xdr:row>23</xdr:row>
      <xdr:rowOff>157656</xdr:rowOff>
    </xdr:from>
    <xdr:to>
      <xdr:col>18</xdr:col>
      <xdr:colOff>13138</xdr:colOff>
      <xdr:row>26</xdr:row>
      <xdr:rowOff>118241</xdr:rowOff>
    </xdr:to>
    <xdr:sp macro="" textlink="">
      <xdr:nvSpPr>
        <xdr:cNvPr id="34" name="TextBox 33">
          <a:extLst>
            <a:ext uri="{FF2B5EF4-FFF2-40B4-BE49-F238E27FC236}">
              <a16:creationId xmlns:a16="http://schemas.microsoft.com/office/drawing/2014/main" id="{CCAAD0C2-1511-4484-82B7-098D540FFB53}"/>
            </a:ext>
          </a:extLst>
        </xdr:cNvPr>
        <xdr:cNvSpPr txBox="1"/>
      </xdr:nvSpPr>
      <xdr:spPr>
        <a:xfrm>
          <a:off x="7270531" y="4363896"/>
          <a:ext cx="3715407" cy="509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2000" b="1" i="1"/>
        </a:p>
      </xdr:txBody>
    </xdr:sp>
    <xdr:clientData/>
  </xdr:twoCellAnchor>
  <xdr:twoCellAnchor>
    <xdr:from>
      <xdr:col>18</xdr:col>
      <xdr:colOff>210207</xdr:colOff>
      <xdr:row>24</xdr:row>
      <xdr:rowOff>13138</xdr:rowOff>
    </xdr:from>
    <xdr:to>
      <xdr:col>24</xdr:col>
      <xdr:colOff>420414</xdr:colOff>
      <xdr:row>26</xdr:row>
      <xdr:rowOff>91965</xdr:rowOff>
    </xdr:to>
    <xdr:sp macro="" textlink="">
      <xdr:nvSpPr>
        <xdr:cNvPr id="41" name="TextBox 40">
          <a:extLst>
            <a:ext uri="{FF2B5EF4-FFF2-40B4-BE49-F238E27FC236}">
              <a16:creationId xmlns:a16="http://schemas.microsoft.com/office/drawing/2014/main" id="{CA3EC09C-3E1F-4E6C-80A9-618A984825A1}"/>
            </a:ext>
          </a:extLst>
        </xdr:cNvPr>
        <xdr:cNvSpPr txBox="1"/>
      </xdr:nvSpPr>
      <xdr:spPr>
        <a:xfrm>
          <a:off x="11183007" y="4402258"/>
          <a:ext cx="3867807" cy="4445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2000" b="1" i="1"/>
        </a:p>
      </xdr:txBody>
    </xdr:sp>
    <xdr:clientData/>
  </xdr:twoCellAnchor>
  <xdr:twoCellAnchor editAs="oneCell">
    <xdr:from>
      <xdr:col>19</xdr:col>
      <xdr:colOff>315312</xdr:colOff>
      <xdr:row>16</xdr:row>
      <xdr:rowOff>65685</xdr:rowOff>
    </xdr:from>
    <xdr:to>
      <xdr:col>24</xdr:col>
      <xdr:colOff>262758</xdr:colOff>
      <xdr:row>22</xdr:row>
      <xdr:rowOff>131379</xdr:rowOff>
    </xdr:to>
    <mc:AlternateContent xmlns:mc="http://schemas.openxmlformats.org/markup-compatibility/2006" xmlns:a14="http://schemas.microsoft.com/office/drawing/2010/main">
      <mc:Choice Requires="a14">
        <xdr:graphicFrame macro="">
          <xdr:nvGraphicFramePr>
            <xdr:cNvPr id="42" name="Season 5">
              <a:extLst>
                <a:ext uri="{FF2B5EF4-FFF2-40B4-BE49-F238E27FC236}">
                  <a16:creationId xmlns:a16="http://schemas.microsoft.com/office/drawing/2014/main" id="{1DEC144D-56DB-4B93-BE3C-01F3BA5392A6}"/>
                </a:ext>
              </a:extLst>
            </xdr:cNvPr>
            <xdr:cNvGraphicFramePr/>
          </xdr:nvGraphicFramePr>
          <xdr:xfrm>
            <a:off x="0" y="0"/>
            <a:ext cx="0" cy="0"/>
          </xdr:xfrm>
          <a:graphic>
            <a:graphicData uri="http://schemas.microsoft.com/office/drawing/2010/slicer">
              <sle:slicer xmlns:sle="http://schemas.microsoft.com/office/drawing/2010/slicer" name="Season 5"/>
            </a:graphicData>
          </a:graphic>
        </xdr:graphicFrame>
      </mc:Choice>
      <mc:Fallback xmlns="">
        <xdr:sp macro="" textlink="">
          <xdr:nvSpPr>
            <xdr:cNvPr id="0" name=""/>
            <xdr:cNvSpPr>
              <a:spLocks noTextEdit="1"/>
            </xdr:cNvSpPr>
          </xdr:nvSpPr>
          <xdr:spPr>
            <a:xfrm>
              <a:off x="11897712" y="2991765"/>
              <a:ext cx="2995446" cy="11629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78828</xdr:colOff>
      <xdr:row>42</xdr:row>
      <xdr:rowOff>78829</xdr:rowOff>
    </xdr:from>
    <xdr:to>
      <xdr:col>11</xdr:col>
      <xdr:colOff>236483</xdr:colOff>
      <xdr:row>44</xdr:row>
      <xdr:rowOff>144518</xdr:rowOff>
    </xdr:to>
    <xdr:sp macro="" textlink="">
      <xdr:nvSpPr>
        <xdr:cNvPr id="44" name="TextBox 43">
          <a:extLst>
            <a:ext uri="{FF2B5EF4-FFF2-40B4-BE49-F238E27FC236}">
              <a16:creationId xmlns:a16="http://schemas.microsoft.com/office/drawing/2014/main" id="{EDA1CF93-DA29-40C2-934D-B8A8A17D837A}"/>
            </a:ext>
          </a:extLst>
        </xdr:cNvPr>
        <xdr:cNvSpPr txBox="1"/>
      </xdr:nvSpPr>
      <xdr:spPr>
        <a:xfrm>
          <a:off x="3126828" y="7759789"/>
          <a:ext cx="3815255" cy="4314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endParaRPr lang="en-IN" sz="1100"/>
        </a:p>
      </xdr:txBody>
    </xdr:sp>
    <xdr:clientData/>
  </xdr:twoCellAnchor>
  <xdr:twoCellAnchor>
    <xdr:from>
      <xdr:col>11</xdr:col>
      <xdr:colOff>525517</xdr:colOff>
      <xdr:row>42</xdr:row>
      <xdr:rowOff>39414</xdr:rowOff>
    </xdr:from>
    <xdr:to>
      <xdr:col>18</xdr:col>
      <xdr:colOff>78827</xdr:colOff>
      <xdr:row>44</xdr:row>
      <xdr:rowOff>131380</xdr:rowOff>
    </xdr:to>
    <xdr:sp macro="" textlink="">
      <xdr:nvSpPr>
        <xdr:cNvPr id="47" name="TextBox 46">
          <a:extLst>
            <a:ext uri="{FF2B5EF4-FFF2-40B4-BE49-F238E27FC236}">
              <a16:creationId xmlns:a16="http://schemas.microsoft.com/office/drawing/2014/main" id="{63E13A9A-BB43-4645-A12F-E71D6FD50882}"/>
            </a:ext>
          </a:extLst>
        </xdr:cNvPr>
        <xdr:cNvSpPr txBox="1"/>
      </xdr:nvSpPr>
      <xdr:spPr>
        <a:xfrm>
          <a:off x="7231117" y="7720374"/>
          <a:ext cx="3820510" cy="4577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800" b="1" i="1"/>
        </a:p>
      </xdr:txBody>
    </xdr:sp>
    <xdr:clientData/>
  </xdr:twoCellAnchor>
  <xdr:twoCellAnchor>
    <xdr:from>
      <xdr:col>19</xdr:col>
      <xdr:colOff>324506</xdr:colOff>
      <xdr:row>35</xdr:row>
      <xdr:rowOff>74886</xdr:rowOff>
    </xdr:from>
    <xdr:to>
      <xdr:col>21</xdr:col>
      <xdr:colOff>30217</xdr:colOff>
      <xdr:row>40</xdr:row>
      <xdr:rowOff>69631</xdr:rowOff>
    </xdr:to>
    <xdr:sp macro="" textlink="">
      <xdr:nvSpPr>
        <xdr:cNvPr id="50" name="TextBox 49">
          <a:extLst>
            <a:ext uri="{FF2B5EF4-FFF2-40B4-BE49-F238E27FC236}">
              <a16:creationId xmlns:a16="http://schemas.microsoft.com/office/drawing/2014/main" id="{44C81B77-F064-4B12-B4E4-F95350F8EB11}"/>
            </a:ext>
          </a:extLst>
        </xdr:cNvPr>
        <xdr:cNvSpPr txBox="1"/>
      </xdr:nvSpPr>
      <xdr:spPr>
        <a:xfrm>
          <a:off x="11906906" y="6475686"/>
          <a:ext cx="924911" cy="9091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oneCellAnchor>
    <xdr:from>
      <xdr:col>27</xdr:col>
      <xdr:colOff>591207</xdr:colOff>
      <xdr:row>46</xdr:row>
      <xdr:rowOff>78827</xdr:rowOff>
    </xdr:from>
    <xdr:ext cx="184731" cy="264560"/>
    <xdr:sp macro="" textlink="">
      <xdr:nvSpPr>
        <xdr:cNvPr id="51" name="TextBox 50">
          <a:extLst>
            <a:ext uri="{FF2B5EF4-FFF2-40B4-BE49-F238E27FC236}">
              <a16:creationId xmlns:a16="http://schemas.microsoft.com/office/drawing/2014/main" id="{66EAF8CE-A8C5-4770-9DD5-F2931B92F680}"/>
            </a:ext>
          </a:extLst>
        </xdr:cNvPr>
        <xdr:cNvSpPr txBox="1"/>
      </xdr:nvSpPr>
      <xdr:spPr>
        <a:xfrm>
          <a:off x="17050407" y="849130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18</xdr:col>
      <xdr:colOff>197069</xdr:colOff>
      <xdr:row>42</xdr:row>
      <xdr:rowOff>0</xdr:rowOff>
    </xdr:from>
    <xdr:to>
      <xdr:col>24</xdr:col>
      <xdr:colOff>433552</xdr:colOff>
      <xdr:row>44</xdr:row>
      <xdr:rowOff>144517</xdr:rowOff>
    </xdr:to>
    <xdr:sp macro="" textlink="">
      <xdr:nvSpPr>
        <xdr:cNvPr id="52" name="TextBox 51">
          <a:extLst>
            <a:ext uri="{FF2B5EF4-FFF2-40B4-BE49-F238E27FC236}">
              <a16:creationId xmlns:a16="http://schemas.microsoft.com/office/drawing/2014/main" id="{B8C114B7-7A96-490D-AA56-21494322C170}"/>
            </a:ext>
          </a:extLst>
        </xdr:cNvPr>
        <xdr:cNvSpPr txBox="1"/>
      </xdr:nvSpPr>
      <xdr:spPr>
        <a:xfrm>
          <a:off x="11169869" y="7680960"/>
          <a:ext cx="3894083" cy="5102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2000" b="1" i="1"/>
        </a:p>
      </xdr:txBody>
    </xdr:sp>
    <xdr:clientData/>
  </xdr:twoCellAnchor>
  <xdr:twoCellAnchor>
    <xdr:from>
      <xdr:col>5</xdr:col>
      <xdr:colOff>289036</xdr:colOff>
      <xdr:row>8</xdr:row>
      <xdr:rowOff>13138</xdr:rowOff>
    </xdr:from>
    <xdr:to>
      <xdr:col>9</xdr:col>
      <xdr:colOff>381001</xdr:colOff>
      <xdr:row>11</xdr:row>
      <xdr:rowOff>0</xdr:rowOff>
    </xdr:to>
    <xdr:sp macro="" textlink="">
      <xdr:nvSpPr>
        <xdr:cNvPr id="53" name="TextBox 52">
          <a:extLst>
            <a:ext uri="{FF2B5EF4-FFF2-40B4-BE49-F238E27FC236}">
              <a16:creationId xmlns:a16="http://schemas.microsoft.com/office/drawing/2014/main" id="{1D2832B2-05D7-4494-814E-38FBC8E9244A}"/>
            </a:ext>
          </a:extLst>
        </xdr:cNvPr>
        <xdr:cNvSpPr txBox="1"/>
      </xdr:nvSpPr>
      <xdr:spPr>
        <a:xfrm>
          <a:off x="3337036" y="1476178"/>
          <a:ext cx="2530365" cy="5355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600" b="1" i="0" u="none" strike="noStrike">
              <a:solidFill>
                <a:schemeClr val="dk1"/>
              </a:solidFill>
              <a:effectLst/>
              <a:latin typeface="+mn-lt"/>
              <a:ea typeface="+mn-ea"/>
              <a:cs typeface="+mn-cs"/>
            </a:rPr>
            <a:t>26.07 </a:t>
          </a:r>
          <a:endParaRPr lang="en-IN" sz="3600" b="1"/>
        </a:p>
      </xdr:txBody>
    </xdr:sp>
    <xdr:clientData/>
  </xdr:twoCellAnchor>
  <xdr:twoCellAnchor>
    <xdr:from>
      <xdr:col>19</xdr:col>
      <xdr:colOff>324506</xdr:colOff>
      <xdr:row>22</xdr:row>
      <xdr:rowOff>74886</xdr:rowOff>
    </xdr:from>
    <xdr:to>
      <xdr:col>21</xdr:col>
      <xdr:colOff>30217</xdr:colOff>
      <xdr:row>27</xdr:row>
      <xdr:rowOff>69631</xdr:rowOff>
    </xdr:to>
    <xdr:sp macro="" textlink="">
      <xdr:nvSpPr>
        <xdr:cNvPr id="54" name="TextBox 53">
          <a:extLst>
            <a:ext uri="{FF2B5EF4-FFF2-40B4-BE49-F238E27FC236}">
              <a16:creationId xmlns:a16="http://schemas.microsoft.com/office/drawing/2014/main" id="{EABBE7C2-4F77-407D-A556-94B49F7A53A8}"/>
            </a:ext>
          </a:extLst>
        </xdr:cNvPr>
        <xdr:cNvSpPr txBox="1"/>
      </xdr:nvSpPr>
      <xdr:spPr>
        <a:xfrm>
          <a:off x="11906906" y="4098246"/>
          <a:ext cx="924911" cy="9091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10</xdr:col>
      <xdr:colOff>144517</xdr:colOff>
      <xdr:row>7</xdr:row>
      <xdr:rowOff>157655</xdr:rowOff>
    </xdr:from>
    <xdr:to>
      <xdr:col>14</xdr:col>
      <xdr:colOff>486102</xdr:colOff>
      <xdr:row>11</xdr:row>
      <xdr:rowOff>13138</xdr:rowOff>
    </xdr:to>
    <xdr:sp macro="" textlink="">
      <xdr:nvSpPr>
        <xdr:cNvPr id="55" name="TextBox 54">
          <a:extLst>
            <a:ext uri="{FF2B5EF4-FFF2-40B4-BE49-F238E27FC236}">
              <a16:creationId xmlns:a16="http://schemas.microsoft.com/office/drawing/2014/main" id="{ABD760C2-983B-4B1C-8C91-2C92F6A6B86F}"/>
            </a:ext>
          </a:extLst>
        </xdr:cNvPr>
        <xdr:cNvSpPr txBox="1"/>
      </xdr:nvSpPr>
      <xdr:spPr>
        <a:xfrm>
          <a:off x="6240517" y="1437815"/>
          <a:ext cx="2779985" cy="5870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600" b="1" i="0" u="none" strike="noStrike">
              <a:solidFill>
                <a:schemeClr val="dk1"/>
              </a:solidFill>
              <a:effectLst/>
              <a:latin typeface="+mn-lt"/>
              <a:ea typeface="+mn-ea"/>
              <a:cs typeface="+mn-cs"/>
            </a:rPr>
            <a:t>   64.02 </a:t>
          </a:r>
          <a:r>
            <a:rPr lang="en-IN" sz="3600"/>
            <a:t>💧</a:t>
          </a:r>
          <a:endParaRPr lang="en-IN" sz="3600" b="1" i="0"/>
        </a:p>
      </xdr:txBody>
    </xdr:sp>
    <xdr:clientData/>
  </xdr:twoCellAnchor>
  <xdr:twoCellAnchor>
    <xdr:from>
      <xdr:col>15</xdr:col>
      <xdr:colOff>118242</xdr:colOff>
      <xdr:row>7</xdr:row>
      <xdr:rowOff>131380</xdr:rowOff>
    </xdr:from>
    <xdr:to>
      <xdr:col>19</xdr:col>
      <xdr:colOff>420414</xdr:colOff>
      <xdr:row>10</xdr:row>
      <xdr:rowOff>118242</xdr:rowOff>
    </xdr:to>
    <xdr:sp macro="" textlink="">
      <xdr:nvSpPr>
        <xdr:cNvPr id="56" name="TextBox 55">
          <a:extLst>
            <a:ext uri="{FF2B5EF4-FFF2-40B4-BE49-F238E27FC236}">
              <a16:creationId xmlns:a16="http://schemas.microsoft.com/office/drawing/2014/main" id="{7339C262-7E1D-4585-98C7-1735357370B3}"/>
            </a:ext>
          </a:extLst>
        </xdr:cNvPr>
        <xdr:cNvSpPr txBox="1"/>
      </xdr:nvSpPr>
      <xdr:spPr>
        <a:xfrm>
          <a:off x="9262242" y="1411540"/>
          <a:ext cx="2740572" cy="5355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600" b="1" i="0" u="none" strike="noStrike">
              <a:solidFill>
                <a:schemeClr val="dk1"/>
              </a:solidFill>
              <a:effectLst/>
              <a:latin typeface="+mn-lt"/>
              <a:ea typeface="+mn-ea"/>
              <a:cs typeface="+mn-cs"/>
            </a:rPr>
            <a:t>   21962</a:t>
          </a:r>
          <a:r>
            <a:rPr lang="en-IN" sz="3600" b="1">
              <a:effectLst/>
            </a:rPr>
            <a:t> </a:t>
          </a:r>
          <a:endParaRPr lang="en-IN" sz="3600" b="1"/>
        </a:p>
      </xdr:txBody>
    </xdr:sp>
    <xdr:clientData/>
  </xdr:twoCellAnchor>
  <xdr:twoCellAnchor>
    <xdr:from>
      <xdr:col>20</xdr:col>
      <xdr:colOff>78827</xdr:colOff>
      <xdr:row>8</xdr:row>
      <xdr:rowOff>39414</xdr:rowOff>
    </xdr:from>
    <xdr:to>
      <xdr:col>24</xdr:col>
      <xdr:colOff>289034</xdr:colOff>
      <xdr:row>11</xdr:row>
      <xdr:rowOff>39414</xdr:rowOff>
    </xdr:to>
    <xdr:sp macro="" textlink="">
      <xdr:nvSpPr>
        <xdr:cNvPr id="57" name="TextBox 56">
          <a:extLst>
            <a:ext uri="{FF2B5EF4-FFF2-40B4-BE49-F238E27FC236}">
              <a16:creationId xmlns:a16="http://schemas.microsoft.com/office/drawing/2014/main" id="{476BAD9D-61FE-4564-A1F8-AB4E13042B71}"/>
            </a:ext>
          </a:extLst>
        </xdr:cNvPr>
        <xdr:cNvSpPr txBox="1"/>
      </xdr:nvSpPr>
      <xdr:spPr>
        <a:xfrm>
          <a:off x="12270827" y="1502454"/>
          <a:ext cx="2648607"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600" b="1" i="0" u="none" strike="noStrike">
              <a:solidFill>
                <a:schemeClr val="dk1"/>
              </a:solidFill>
              <a:effectLst/>
              <a:latin typeface="+mn-lt"/>
              <a:ea typeface="+mn-ea"/>
              <a:cs typeface="+mn-cs"/>
            </a:rPr>
            <a:t>  18.1</a:t>
          </a:r>
          <a:r>
            <a:rPr lang="en-IN" sz="3600" b="1">
              <a:effectLst/>
            </a:rPr>
            <a:t> </a:t>
          </a:r>
          <a:endParaRPr lang="en-IN" sz="3600" b="1"/>
        </a:p>
      </xdr:txBody>
    </xdr:sp>
    <xdr:clientData/>
  </xdr:twoCellAnchor>
  <xdr:twoCellAnchor editAs="oneCell">
    <xdr:from>
      <xdr:col>22</xdr:col>
      <xdr:colOff>183931</xdr:colOff>
      <xdr:row>8</xdr:row>
      <xdr:rowOff>21021</xdr:rowOff>
    </xdr:from>
    <xdr:to>
      <xdr:col>23</xdr:col>
      <xdr:colOff>433553</xdr:colOff>
      <xdr:row>11</xdr:row>
      <xdr:rowOff>73573</xdr:rowOff>
    </xdr:to>
    <xdr:pic>
      <xdr:nvPicPr>
        <xdr:cNvPr id="59" name="Graphic 58" descr="Leaf with solid fill">
          <a:extLst>
            <a:ext uri="{FF2B5EF4-FFF2-40B4-BE49-F238E27FC236}">
              <a16:creationId xmlns:a16="http://schemas.microsoft.com/office/drawing/2014/main" id="{DA20E48A-5A28-4674-8F53-026B6D579A1A}"/>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3595131" y="1484061"/>
          <a:ext cx="859222" cy="601192"/>
        </a:xfrm>
        <a:prstGeom prst="rect">
          <a:avLst/>
        </a:prstGeom>
      </xdr:spPr>
    </xdr:pic>
    <xdr:clientData/>
  </xdr:twoCellAnchor>
  <xdr:twoCellAnchor editAs="oneCell">
    <xdr:from>
      <xdr:col>7</xdr:col>
      <xdr:colOff>499241</xdr:colOff>
      <xdr:row>7</xdr:row>
      <xdr:rowOff>178678</xdr:rowOff>
    </xdr:from>
    <xdr:to>
      <xdr:col>9</xdr:col>
      <xdr:colOff>105104</xdr:colOff>
      <xdr:row>11</xdr:row>
      <xdr:rowOff>73574</xdr:rowOff>
    </xdr:to>
    <xdr:pic>
      <xdr:nvPicPr>
        <xdr:cNvPr id="60" name="Graphic 59" descr="Sun with solid fill">
          <a:extLst>
            <a:ext uri="{FF2B5EF4-FFF2-40B4-BE49-F238E27FC236}">
              <a16:creationId xmlns:a16="http://schemas.microsoft.com/office/drawing/2014/main" id="{B0EAF47A-FF63-4D8F-88AF-4B38EA95A2C9}"/>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766441" y="1458838"/>
          <a:ext cx="825063" cy="626416"/>
        </a:xfrm>
        <a:prstGeom prst="rect">
          <a:avLst/>
        </a:prstGeom>
      </xdr:spPr>
    </xdr:pic>
    <xdr:clientData/>
  </xdr:twoCellAnchor>
  <xdr:twoCellAnchor editAs="oneCell">
    <xdr:from>
      <xdr:col>18</xdr:col>
      <xdr:colOff>39414</xdr:colOff>
      <xdr:row>8</xdr:row>
      <xdr:rowOff>47297</xdr:rowOff>
    </xdr:from>
    <xdr:to>
      <xdr:col>19</xdr:col>
      <xdr:colOff>223346</xdr:colOff>
      <xdr:row>11</xdr:row>
      <xdr:rowOff>34159</xdr:rowOff>
    </xdr:to>
    <xdr:pic>
      <xdr:nvPicPr>
        <xdr:cNvPr id="61" name="Graphic 60" descr="Cloud with solid fill">
          <a:extLst>
            <a:ext uri="{FF2B5EF4-FFF2-40B4-BE49-F238E27FC236}">
              <a16:creationId xmlns:a16="http://schemas.microsoft.com/office/drawing/2014/main" id="{12A7BEF6-333F-4126-90F9-21FDD41D8B6D}"/>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1012214" y="1510337"/>
          <a:ext cx="793532" cy="535502"/>
        </a:xfrm>
        <a:prstGeom prst="rect">
          <a:avLst/>
        </a:prstGeom>
      </xdr:spPr>
    </xdr:pic>
    <xdr:clientData/>
  </xdr:twoCellAnchor>
  <xdr:twoCellAnchor>
    <xdr:from>
      <xdr:col>0</xdr:col>
      <xdr:colOff>137160</xdr:colOff>
      <xdr:row>14</xdr:row>
      <xdr:rowOff>106680</xdr:rowOff>
    </xdr:from>
    <xdr:to>
      <xdr:col>4</xdr:col>
      <xdr:colOff>396240</xdr:colOff>
      <xdr:row>19</xdr:row>
      <xdr:rowOff>121920</xdr:rowOff>
    </xdr:to>
    <xdr:sp macro="" textlink="">
      <xdr:nvSpPr>
        <xdr:cNvPr id="63" name="Rectangle: Rounded Corners 62">
          <a:extLst>
            <a:ext uri="{FF2B5EF4-FFF2-40B4-BE49-F238E27FC236}">
              <a16:creationId xmlns:a16="http://schemas.microsoft.com/office/drawing/2014/main" id="{8CF3B0A2-7FB4-4D56-8D1A-BC0F4293CE5D}"/>
            </a:ext>
          </a:extLst>
        </xdr:cNvPr>
        <xdr:cNvSpPr/>
      </xdr:nvSpPr>
      <xdr:spPr>
        <a:xfrm>
          <a:off x="137160" y="2667000"/>
          <a:ext cx="2697480" cy="929640"/>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243840</xdr:colOff>
      <xdr:row>23</xdr:row>
      <xdr:rowOff>0</xdr:rowOff>
    </xdr:from>
    <xdr:to>
      <xdr:col>4</xdr:col>
      <xdr:colOff>167640</xdr:colOff>
      <xdr:row>28</xdr:row>
      <xdr:rowOff>160020</xdr:rowOff>
    </xdr:to>
    <xdr:sp macro="" textlink="">
      <xdr:nvSpPr>
        <xdr:cNvPr id="64" name="TextBox 63">
          <a:extLst>
            <a:ext uri="{FF2B5EF4-FFF2-40B4-BE49-F238E27FC236}">
              <a16:creationId xmlns:a16="http://schemas.microsoft.com/office/drawing/2014/main" id="{A1628E20-1F73-4061-8B4A-A1BD3DC441DA}"/>
            </a:ext>
          </a:extLst>
        </xdr:cNvPr>
        <xdr:cNvSpPr txBox="1"/>
      </xdr:nvSpPr>
      <xdr:spPr>
        <a:xfrm>
          <a:off x="243840" y="4206240"/>
          <a:ext cx="2362200" cy="1074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3200">
            <a:solidFill>
              <a:srgbClr val="FF0000"/>
            </a:solidFill>
          </a:endParaRPr>
        </a:p>
      </xdr:txBody>
    </xdr:sp>
    <xdr:clientData/>
  </xdr:twoCellAnchor>
  <xdr:oneCellAnchor>
    <xdr:from>
      <xdr:col>28</xdr:col>
      <xdr:colOff>350520</xdr:colOff>
      <xdr:row>40</xdr:row>
      <xdr:rowOff>76200</xdr:rowOff>
    </xdr:from>
    <xdr:ext cx="184731" cy="264560"/>
    <xdr:sp macro="" textlink="">
      <xdr:nvSpPr>
        <xdr:cNvPr id="65" name="TextBox 64">
          <a:extLst>
            <a:ext uri="{FF2B5EF4-FFF2-40B4-BE49-F238E27FC236}">
              <a16:creationId xmlns:a16="http://schemas.microsoft.com/office/drawing/2014/main" id="{39813E6C-35F1-4032-B0AC-7F3E4DF19AAD}"/>
            </a:ext>
          </a:extLst>
        </xdr:cNvPr>
        <xdr:cNvSpPr txBox="1"/>
      </xdr:nvSpPr>
      <xdr:spPr>
        <a:xfrm>
          <a:off x="17419320" y="739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0</xdr:col>
      <xdr:colOff>106680</xdr:colOff>
      <xdr:row>21</xdr:row>
      <xdr:rowOff>60960</xdr:rowOff>
    </xdr:from>
    <xdr:to>
      <xdr:col>4</xdr:col>
      <xdr:colOff>381000</xdr:colOff>
      <xdr:row>26</xdr:row>
      <xdr:rowOff>76200</xdr:rowOff>
    </xdr:to>
    <xdr:sp macro="" textlink="">
      <xdr:nvSpPr>
        <xdr:cNvPr id="66" name="Rectangle: Rounded Corners 65">
          <a:hlinkClick xmlns:r="http://schemas.openxmlformats.org/officeDocument/2006/relationships" r:id="rId8"/>
          <a:extLst>
            <a:ext uri="{FF2B5EF4-FFF2-40B4-BE49-F238E27FC236}">
              <a16:creationId xmlns:a16="http://schemas.microsoft.com/office/drawing/2014/main" id="{A6005C30-7108-4722-B58C-43F88DFCEE1C}"/>
            </a:ext>
          </a:extLst>
        </xdr:cNvPr>
        <xdr:cNvSpPr/>
      </xdr:nvSpPr>
      <xdr:spPr>
        <a:xfrm>
          <a:off x="106680" y="3901440"/>
          <a:ext cx="2712720" cy="929640"/>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TE</a:t>
          </a:r>
        </a:p>
      </xdr:txBody>
    </xdr:sp>
    <xdr:clientData/>
  </xdr:twoCellAnchor>
  <xdr:twoCellAnchor>
    <xdr:from>
      <xdr:col>0</xdr:col>
      <xdr:colOff>213360</xdr:colOff>
      <xdr:row>29</xdr:row>
      <xdr:rowOff>45720</xdr:rowOff>
    </xdr:from>
    <xdr:to>
      <xdr:col>4</xdr:col>
      <xdr:colOff>137160</xdr:colOff>
      <xdr:row>35</xdr:row>
      <xdr:rowOff>22860</xdr:rowOff>
    </xdr:to>
    <xdr:sp macro="" textlink="">
      <xdr:nvSpPr>
        <xdr:cNvPr id="67" name="TextBox 66">
          <a:extLst>
            <a:ext uri="{FF2B5EF4-FFF2-40B4-BE49-F238E27FC236}">
              <a16:creationId xmlns:a16="http://schemas.microsoft.com/office/drawing/2014/main" id="{96FA679F-D9F3-4313-9522-22EDE9D5A318}"/>
            </a:ext>
          </a:extLst>
        </xdr:cNvPr>
        <xdr:cNvSpPr txBox="1"/>
      </xdr:nvSpPr>
      <xdr:spPr>
        <a:xfrm>
          <a:off x="213360" y="5349240"/>
          <a:ext cx="2362200" cy="1074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3200">
            <a:solidFill>
              <a:srgbClr val="FF0000"/>
            </a:solidFill>
          </a:endParaRPr>
        </a:p>
      </xdr:txBody>
    </xdr:sp>
    <xdr:clientData/>
  </xdr:twoCellAnchor>
  <xdr:twoCellAnchor>
    <xdr:from>
      <xdr:col>0</xdr:col>
      <xdr:colOff>121920</xdr:colOff>
      <xdr:row>27</xdr:row>
      <xdr:rowOff>167640</xdr:rowOff>
    </xdr:from>
    <xdr:to>
      <xdr:col>4</xdr:col>
      <xdr:colOff>335280</xdr:colOff>
      <xdr:row>33</xdr:row>
      <xdr:rowOff>0</xdr:rowOff>
    </xdr:to>
    <xdr:sp macro="" textlink="">
      <xdr:nvSpPr>
        <xdr:cNvPr id="68" name="Rectangle: Rounded Corners 67">
          <a:extLst>
            <a:ext uri="{FF2B5EF4-FFF2-40B4-BE49-F238E27FC236}">
              <a16:creationId xmlns:a16="http://schemas.microsoft.com/office/drawing/2014/main" id="{3864CC6D-2FFC-4290-B1F7-FF50D413B51A}"/>
            </a:ext>
          </a:extLst>
        </xdr:cNvPr>
        <xdr:cNvSpPr/>
      </xdr:nvSpPr>
      <xdr:spPr>
        <a:xfrm>
          <a:off x="121920" y="5105400"/>
          <a:ext cx="2651760" cy="929640"/>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152400</xdr:colOff>
      <xdr:row>36</xdr:row>
      <xdr:rowOff>76200</xdr:rowOff>
    </xdr:from>
    <xdr:to>
      <xdr:col>4</xdr:col>
      <xdr:colOff>76200</xdr:colOff>
      <xdr:row>42</xdr:row>
      <xdr:rowOff>53340</xdr:rowOff>
    </xdr:to>
    <xdr:sp macro="" textlink="">
      <xdr:nvSpPr>
        <xdr:cNvPr id="69" name="TextBox 68">
          <a:extLst>
            <a:ext uri="{FF2B5EF4-FFF2-40B4-BE49-F238E27FC236}">
              <a16:creationId xmlns:a16="http://schemas.microsoft.com/office/drawing/2014/main" id="{29E1F526-E39C-4D01-BEE0-7C2E0BD2955B}"/>
            </a:ext>
          </a:extLst>
        </xdr:cNvPr>
        <xdr:cNvSpPr txBox="1"/>
      </xdr:nvSpPr>
      <xdr:spPr>
        <a:xfrm>
          <a:off x="152400" y="6659880"/>
          <a:ext cx="2362200" cy="1074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3200">
            <a:solidFill>
              <a:srgbClr val="FF0000"/>
            </a:solidFill>
          </a:endParaRPr>
        </a:p>
      </xdr:txBody>
    </xdr:sp>
    <xdr:clientData/>
  </xdr:twoCellAnchor>
  <xdr:twoCellAnchor>
    <xdr:from>
      <xdr:col>0</xdr:col>
      <xdr:colOff>106680</xdr:colOff>
      <xdr:row>34</xdr:row>
      <xdr:rowOff>152400</xdr:rowOff>
    </xdr:from>
    <xdr:to>
      <xdr:col>4</xdr:col>
      <xdr:colOff>365760</xdr:colOff>
      <xdr:row>39</xdr:row>
      <xdr:rowOff>167640</xdr:rowOff>
    </xdr:to>
    <xdr:sp macro="" textlink="">
      <xdr:nvSpPr>
        <xdr:cNvPr id="70" name="Rectangle: Rounded Corners 69">
          <a:hlinkClick xmlns:r="http://schemas.openxmlformats.org/officeDocument/2006/relationships" r:id="rId9"/>
          <a:extLst>
            <a:ext uri="{FF2B5EF4-FFF2-40B4-BE49-F238E27FC236}">
              <a16:creationId xmlns:a16="http://schemas.microsoft.com/office/drawing/2014/main" id="{E0C338D0-CD28-455F-9D5D-167231A7C542}"/>
            </a:ext>
          </a:extLst>
        </xdr:cNvPr>
        <xdr:cNvSpPr/>
      </xdr:nvSpPr>
      <xdr:spPr>
        <a:xfrm>
          <a:off x="106680" y="6370320"/>
          <a:ext cx="2697480" cy="929640"/>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198120</xdr:colOff>
      <xdr:row>42</xdr:row>
      <xdr:rowOff>45720</xdr:rowOff>
    </xdr:from>
    <xdr:to>
      <xdr:col>4</xdr:col>
      <xdr:colOff>121920</xdr:colOff>
      <xdr:row>48</xdr:row>
      <xdr:rowOff>22860</xdr:rowOff>
    </xdr:to>
    <xdr:sp macro="" textlink="">
      <xdr:nvSpPr>
        <xdr:cNvPr id="71" name="TextBox 70">
          <a:extLst>
            <a:ext uri="{FF2B5EF4-FFF2-40B4-BE49-F238E27FC236}">
              <a16:creationId xmlns:a16="http://schemas.microsoft.com/office/drawing/2014/main" id="{61E40A61-5C60-4D26-A8C6-7935FEA51A1A}"/>
            </a:ext>
          </a:extLst>
        </xdr:cNvPr>
        <xdr:cNvSpPr txBox="1"/>
      </xdr:nvSpPr>
      <xdr:spPr>
        <a:xfrm>
          <a:off x="198120" y="7726680"/>
          <a:ext cx="2362200" cy="1074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3200">
            <a:solidFill>
              <a:srgbClr val="FF0000"/>
            </a:solidFill>
          </a:endParaRPr>
        </a:p>
      </xdr:txBody>
    </xdr:sp>
    <xdr:clientData/>
  </xdr:twoCellAnchor>
  <xdr:twoCellAnchor>
    <xdr:from>
      <xdr:col>0</xdr:col>
      <xdr:colOff>106680</xdr:colOff>
      <xdr:row>41</xdr:row>
      <xdr:rowOff>152400</xdr:rowOff>
    </xdr:from>
    <xdr:to>
      <xdr:col>4</xdr:col>
      <xdr:colOff>350520</xdr:colOff>
      <xdr:row>46</xdr:row>
      <xdr:rowOff>167640</xdr:rowOff>
    </xdr:to>
    <xdr:sp macro="" textlink="">
      <xdr:nvSpPr>
        <xdr:cNvPr id="72" name="Rectangle: Rounded Corners 71">
          <a:extLst>
            <a:ext uri="{FF2B5EF4-FFF2-40B4-BE49-F238E27FC236}">
              <a16:creationId xmlns:a16="http://schemas.microsoft.com/office/drawing/2014/main" id="{FC67CC68-A8DC-4358-9137-C3622D76BBCE}"/>
            </a:ext>
          </a:extLst>
        </xdr:cNvPr>
        <xdr:cNvSpPr/>
      </xdr:nvSpPr>
      <xdr:spPr>
        <a:xfrm>
          <a:off x="106680" y="7650480"/>
          <a:ext cx="2682240" cy="929640"/>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289560</xdr:colOff>
      <xdr:row>15</xdr:row>
      <xdr:rowOff>30480</xdr:rowOff>
    </xdr:from>
    <xdr:to>
      <xdr:col>4</xdr:col>
      <xdr:colOff>411480</xdr:colOff>
      <xdr:row>19</xdr:row>
      <xdr:rowOff>99060</xdr:rowOff>
    </xdr:to>
    <xdr:sp macro="" textlink="">
      <xdr:nvSpPr>
        <xdr:cNvPr id="73" name="TextBox 72">
          <a:hlinkClick xmlns:r="http://schemas.openxmlformats.org/officeDocument/2006/relationships" r:id="rId9"/>
          <a:extLst>
            <a:ext uri="{FF2B5EF4-FFF2-40B4-BE49-F238E27FC236}">
              <a16:creationId xmlns:a16="http://schemas.microsoft.com/office/drawing/2014/main" id="{A0B03AA9-A4A6-4672-89DE-4AF867D7795B}"/>
            </a:ext>
          </a:extLst>
        </xdr:cNvPr>
        <xdr:cNvSpPr txBox="1"/>
      </xdr:nvSpPr>
      <xdr:spPr>
        <a:xfrm>
          <a:off x="289560" y="2773680"/>
          <a:ext cx="2560320" cy="800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b="1">
              <a:solidFill>
                <a:schemeClr val="tx1"/>
              </a:solidFill>
            </a:rPr>
            <a:t>DASHBOARD</a:t>
          </a:r>
        </a:p>
      </xdr:txBody>
    </xdr:sp>
    <xdr:clientData/>
  </xdr:twoCellAnchor>
  <xdr:twoCellAnchor>
    <xdr:from>
      <xdr:col>30</xdr:col>
      <xdr:colOff>15240</xdr:colOff>
      <xdr:row>48</xdr:row>
      <xdr:rowOff>60961</xdr:rowOff>
    </xdr:from>
    <xdr:to>
      <xdr:col>36</xdr:col>
      <xdr:colOff>213360</xdr:colOff>
      <xdr:row>50</xdr:row>
      <xdr:rowOff>167640</xdr:rowOff>
    </xdr:to>
    <xdr:sp macro="" textlink="">
      <xdr:nvSpPr>
        <xdr:cNvPr id="74" name="TextBox 73">
          <a:extLst>
            <a:ext uri="{FF2B5EF4-FFF2-40B4-BE49-F238E27FC236}">
              <a16:creationId xmlns:a16="http://schemas.microsoft.com/office/drawing/2014/main" id="{9FB618C6-AC0C-495F-8171-C8BABCA4ADCA}"/>
            </a:ext>
          </a:extLst>
        </xdr:cNvPr>
        <xdr:cNvSpPr txBox="1"/>
      </xdr:nvSpPr>
      <xdr:spPr>
        <a:xfrm>
          <a:off x="18303240" y="8839201"/>
          <a:ext cx="3855720" cy="4724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0</xdr:col>
      <xdr:colOff>243840</xdr:colOff>
      <xdr:row>21</xdr:row>
      <xdr:rowOff>121920</xdr:rowOff>
    </xdr:from>
    <xdr:to>
      <xdr:col>4</xdr:col>
      <xdr:colOff>289560</xdr:colOff>
      <xdr:row>26</xdr:row>
      <xdr:rowOff>91440</xdr:rowOff>
    </xdr:to>
    <xdr:sp macro="" textlink="">
      <xdr:nvSpPr>
        <xdr:cNvPr id="75" name="TextBox 74">
          <a:hlinkClick xmlns:r="http://schemas.openxmlformats.org/officeDocument/2006/relationships" r:id="rId9"/>
          <a:extLst>
            <a:ext uri="{FF2B5EF4-FFF2-40B4-BE49-F238E27FC236}">
              <a16:creationId xmlns:a16="http://schemas.microsoft.com/office/drawing/2014/main" id="{FE400540-31A6-4564-999D-47A40F6C7913}"/>
            </a:ext>
          </a:extLst>
        </xdr:cNvPr>
        <xdr:cNvSpPr txBox="1"/>
      </xdr:nvSpPr>
      <xdr:spPr>
        <a:xfrm>
          <a:off x="243840" y="3962400"/>
          <a:ext cx="2484120" cy="883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a:solidFill>
                <a:sysClr val="windowText" lastClr="000000"/>
              </a:solidFill>
            </a:rPr>
            <a:t>TEMPERATURE</a:t>
          </a:r>
        </a:p>
      </xdr:txBody>
    </xdr:sp>
    <xdr:clientData/>
  </xdr:twoCellAnchor>
  <xdr:twoCellAnchor>
    <xdr:from>
      <xdr:col>0</xdr:col>
      <xdr:colOff>198120</xdr:colOff>
      <xdr:row>28</xdr:row>
      <xdr:rowOff>91440</xdr:rowOff>
    </xdr:from>
    <xdr:to>
      <xdr:col>4</xdr:col>
      <xdr:colOff>274320</xdr:colOff>
      <xdr:row>32</xdr:row>
      <xdr:rowOff>91440</xdr:rowOff>
    </xdr:to>
    <xdr:sp macro="" textlink="">
      <xdr:nvSpPr>
        <xdr:cNvPr id="76" name="TextBox 75">
          <a:extLst>
            <a:ext uri="{FF2B5EF4-FFF2-40B4-BE49-F238E27FC236}">
              <a16:creationId xmlns:a16="http://schemas.microsoft.com/office/drawing/2014/main" id="{0213EE18-8E4C-4780-B619-FAE8C5FD0914}"/>
            </a:ext>
          </a:extLst>
        </xdr:cNvPr>
        <xdr:cNvSpPr txBox="1"/>
      </xdr:nvSpPr>
      <xdr:spPr>
        <a:xfrm>
          <a:off x="198120" y="5212080"/>
          <a:ext cx="2514600" cy="731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b="1"/>
            <a:t>HUMIDITY</a:t>
          </a:r>
        </a:p>
      </xdr:txBody>
    </xdr:sp>
    <xdr:clientData/>
  </xdr:twoCellAnchor>
  <xdr:twoCellAnchor>
    <xdr:from>
      <xdr:col>0</xdr:col>
      <xdr:colOff>137160</xdr:colOff>
      <xdr:row>35</xdr:row>
      <xdr:rowOff>30480</xdr:rowOff>
    </xdr:from>
    <xdr:to>
      <xdr:col>4</xdr:col>
      <xdr:colOff>289560</xdr:colOff>
      <xdr:row>40</xdr:row>
      <xdr:rowOff>30480</xdr:rowOff>
    </xdr:to>
    <xdr:sp macro="" textlink="">
      <xdr:nvSpPr>
        <xdr:cNvPr id="77" name="TextBox 76">
          <a:hlinkClick xmlns:r="http://schemas.openxmlformats.org/officeDocument/2006/relationships" r:id="rId1"/>
          <a:extLst>
            <a:ext uri="{FF2B5EF4-FFF2-40B4-BE49-F238E27FC236}">
              <a16:creationId xmlns:a16="http://schemas.microsoft.com/office/drawing/2014/main" id="{6AE9EE55-AB2C-437B-851B-DF0099F7ED44}"/>
            </a:ext>
          </a:extLst>
        </xdr:cNvPr>
        <xdr:cNvSpPr txBox="1"/>
      </xdr:nvSpPr>
      <xdr:spPr>
        <a:xfrm>
          <a:off x="137160" y="6431280"/>
          <a:ext cx="259080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b="1"/>
            <a:t>WEATHER</a:t>
          </a:r>
        </a:p>
      </xdr:txBody>
    </xdr:sp>
    <xdr:clientData/>
  </xdr:twoCellAnchor>
  <xdr:twoCellAnchor>
    <xdr:from>
      <xdr:col>0</xdr:col>
      <xdr:colOff>152400</xdr:colOff>
      <xdr:row>42</xdr:row>
      <xdr:rowOff>30480</xdr:rowOff>
    </xdr:from>
    <xdr:to>
      <xdr:col>4</xdr:col>
      <xdr:colOff>274320</xdr:colOff>
      <xdr:row>46</xdr:row>
      <xdr:rowOff>121920</xdr:rowOff>
    </xdr:to>
    <xdr:sp macro="" textlink="">
      <xdr:nvSpPr>
        <xdr:cNvPr id="78" name="TextBox 77">
          <a:hlinkClick xmlns:r="http://schemas.openxmlformats.org/officeDocument/2006/relationships" r:id="rId9"/>
          <a:extLst>
            <a:ext uri="{FF2B5EF4-FFF2-40B4-BE49-F238E27FC236}">
              <a16:creationId xmlns:a16="http://schemas.microsoft.com/office/drawing/2014/main" id="{357EDD97-1DC9-475E-8C64-5A0736A2A6C4}"/>
            </a:ext>
          </a:extLst>
        </xdr:cNvPr>
        <xdr:cNvSpPr txBox="1"/>
      </xdr:nvSpPr>
      <xdr:spPr>
        <a:xfrm>
          <a:off x="152400" y="7711440"/>
          <a:ext cx="2560320" cy="822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b="1"/>
            <a:t>RAINFALL</a:t>
          </a:r>
        </a:p>
      </xdr:txBody>
    </xdr:sp>
    <xdr:clientData/>
  </xdr:twoCellAnchor>
  <xdr:twoCellAnchor>
    <xdr:from>
      <xdr:col>5</xdr:col>
      <xdr:colOff>45720</xdr:colOff>
      <xdr:row>23</xdr:row>
      <xdr:rowOff>76200</xdr:rowOff>
    </xdr:from>
    <xdr:to>
      <xdr:col>14</xdr:col>
      <xdr:colOff>320040</xdr:colOff>
      <xdr:row>58</xdr:row>
      <xdr:rowOff>30480</xdr:rowOff>
    </xdr:to>
    <xdr:sp macro="" textlink="">
      <xdr:nvSpPr>
        <xdr:cNvPr id="82" name="Rectangle 81">
          <a:extLst>
            <a:ext uri="{FF2B5EF4-FFF2-40B4-BE49-F238E27FC236}">
              <a16:creationId xmlns:a16="http://schemas.microsoft.com/office/drawing/2014/main" id="{54AF6CA7-43CB-235B-26E1-725902BB352E}"/>
            </a:ext>
          </a:extLst>
        </xdr:cNvPr>
        <xdr:cNvSpPr/>
      </xdr:nvSpPr>
      <xdr:spPr>
        <a:xfrm>
          <a:off x="3093720" y="4282440"/>
          <a:ext cx="5760720" cy="6355080"/>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45720</xdr:colOff>
      <xdr:row>23</xdr:row>
      <xdr:rowOff>76200</xdr:rowOff>
    </xdr:from>
    <xdr:to>
      <xdr:col>14</xdr:col>
      <xdr:colOff>335280</xdr:colOff>
      <xdr:row>27</xdr:row>
      <xdr:rowOff>23648</xdr:rowOff>
    </xdr:to>
    <xdr:sp macro="" textlink="">
      <xdr:nvSpPr>
        <xdr:cNvPr id="83" name="Rectangle 82">
          <a:extLst>
            <a:ext uri="{FF2B5EF4-FFF2-40B4-BE49-F238E27FC236}">
              <a16:creationId xmlns:a16="http://schemas.microsoft.com/office/drawing/2014/main" id="{9805F892-005C-4C9F-BF1B-191C10AB4139}"/>
            </a:ext>
          </a:extLst>
        </xdr:cNvPr>
        <xdr:cNvSpPr/>
      </xdr:nvSpPr>
      <xdr:spPr>
        <a:xfrm>
          <a:off x="3093720" y="4282440"/>
          <a:ext cx="5775960" cy="678968"/>
        </a:xfrm>
        <a:prstGeom prst="rect">
          <a:avLst/>
        </a:prstGeom>
        <a:solidFill>
          <a:srgbClr val="0099C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5</xdr:col>
      <xdr:colOff>45720</xdr:colOff>
      <xdr:row>23</xdr:row>
      <xdr:rowOff>76200</xdr:rowOff>
    </xdr:from>
    <xdr:to>
      <xdr:col>14</xdr:col>
      <xdr:colOff>228600</xdr:colOff>
      <xdr:row>27</xdr:row>
      <xdr:rowOff>30480</xdr:rowOff>
    </xdr:to>
    <xdr:pic>
      <xdr:nvPicPr>
        <xdr:cNvPr id="84" name="Picture 83">
          <a:extLst>
            <a:ext uri="{FF2B5EF4-FFF2-40B4-BE49-F238E27FC236}">
              <a16:creationId xmlns:a16="http://schemas.microsoft.com/office/drawing/2014/main" id="{F1590CB8-5E7A-1903-E710-AE41609B844A}"/>
            </a:ext>
          </a:extLst>
        </xdr:cNvPr>
        <xdr:cNvPicPr>
          <a:picLocks noChangeAspect="1"/>
        </xdr:cNvPicPr>
      </xdr:nvPicPr>
      <xdr:blipFill>
        <a:blip xmlns:r="http://schemas.openxmlformats.org/officeDocument/2006/relationships" r:embed="rId10"/>
        <a:stretch>
          <a:fillRect/>
        </a:stretch>
      </xdr:blipFill>
      <xdr:spPr>
        <a:xfrm>
          <a:off x="3093720" y="4282440"/>
          <a:ext cx="5669280" cy="685800"/>
        </a:xfrm>
        <a:prstGeom prst="rect">
          <a:avLst/>
        </a:prstGeom>
      </xdr:spPr>
    </xdr:pic>
    <xdr:clientData/>
  </xdr:twoCellAnchor>
  <xdr:twoCellAnchor>
    <xdr:from>
      <xdr:col>5</xdr:col>
      <xdr:colOff>167640</xdr:colOff>
      <xdr:row>27</xdr:row>
      <xdr:rowOff>167640</xdr:rowOff>
    </xdr:from>
    <xdr:to>
      <xdr:col>14</xdr:col>
      <xdr:colOff>121920</xdr:colOff>
      <xdr:row>57</xdr:row>
      <xdr:rowOff>137160</xdr:rowOff>
    </xdr:to>
    <xdr:graphicFrame macro="">
      <xdr:nvGraphicFramePr>
        <xdr:cNvPr id="85" name="Chart 84">
          <a:extLst>
            <a:ext uri="{FF2B5EF4-FFF2-40B4-BE49-F238E27FC236}">
              <a16:creationId xmlns:a16="http://schemas.microsoft.com/office/drawing/2014/main" id="{0742E96D-CCB8-4378-B5BE-E3D9B288B4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91440</xdr:colOff>
      <xdr:row>23</xdr:row>
      <xdr:rowOff>152400</xdr:rowOff>
    </xdr:from>
    <xdr:to>
      <xdr:col>23</xdr:col>
      <xdr:colOff>152400</xdr:colOff>
      <xdr:row>56</xdr:row>
      <xdr:rowOff>152400</xdr:rowOff>
    </xdr:to>
    <xdr:sp macro="" textlink="">
      <xdr:nvSpPr>
        <xdr:cNvPr id="86" name="Oval 85">
          <a:extLst>
            <a:ext uri="{FF2B5EF4-FFF2-40B4-BE49-F238E27FC236}">
              <a16:creationId xmlns:a16="http://schemas.microsoft.com/office/drawing/2014/main" id="{D32AEFA3-9487-F48A-49BE-EF5029DA910E}"/>
            </a:ext>
          </a:extLst>
        </xdr:cNvPr>
        <xdr:cNvSpPr/>
      </xdr:nvSpPr>
      <xdr:spPr>
        <a:xfrm>
          <a:off x="9235440" y="4358640"/>
          <a:ext cx="4937760" cy="6035040"/>
        </a:xfrm>
        <a:prstGeom prst="ellipse">
          <a:avLst/>
        </a:prstGeom>
        <a:solidFill>
          <a:srgbClr val="B4DE8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137160</xdr:colOff>
      <xdr:row>26</xdr:row>
      <xdr:rowOff>76200</xdr:rowOff>
    </xdr:from>
    <xdr:to>
      <xdr:col>22</xdr:col>
      <xdr:colOff>106680</xdr:colOff>
      <xdr:row>53</xdr:row>
      <xdr:rowOff>121920</xdr:rowOff>
    </xdr:to>
    <xdr:sp macro="" textlink="">
      <xdr:nvSpPr>
        <xdr:cNvPr id="7169" name="Text Box 1">
          <a:extLst>
            <a:ext uri="{FF2B5EF4-FFF2-40B4-BE49-F238E27FC236}">
              <a16:creationId xmlns:a16="http://schemas.microsoft.com/office/drawing/2014/main" id="{8574123D-8474-F87C-C040-5EBC062FA611}"/>
            </a:ext>
          </a:extLst>
        </xdr:cNvPr>
        <xdr:cNvSpPr txBox="1">
          <a:spLocks noChangeArrowheads="1"/>
        </xdr:cNvSpPr>
      </xdr:nvSpPr>
      <xdr:spPr bwMode="auto">
        <a:xfrm>
          <a:off x="9890760" y="4831080"/>
          <a:ext cx="3627120" cy="4983480"/>
        </a:xfrm>
        <a:prstGeom prst="rect">
          <a:avLst/>
        </a:prstGeom>
        <a:noFill/>
        <a:ln w="9525">
          <a:noFill/>
          <a:miter lim="800000"/>
          <a:headEnd/>
          <a:tailEnd/>
        </a:ln>
      </xdr:spPr>
      <xdr:txBody>
        <a:bodyPr vertOverflow="clip" wrap="square" lIns="27432" tIns="18288" rIns="0" bIns="0" anchor="ctr" upright="1"/>
        <a:lstStyle/>
        <a:p>
          <a:pPr algn="l" rtl="0">
            <a:defRPr sz="1000"/>
          </a:pPr>
          <a:endParaRPr lang="en-IN" sz="1100" b="0" i="0" u="none" strike="noStrike" baseline="0">
            <a:solidFill>
              <a:srgbClr val="000000"/>
            </a:solidFill>
            <a:latin typeface="Calibri"/>
            <a:ea typeface="Calibri"/>
            <a:cs typeface="Calibri"/>
          </a:endParaRPr>
        </a:p>
        <a:p>
          <a:pPr algn="ctr" rtl="0">
            <a:defRPr sz="1000"/>
          </a:pPr>
          <a:r>
            <a:rPr lang="en-IN" sz="2800" b="0" i="0" u="none" strike="noStrike" baseline="0">
              <a:solidFill>
                <a:srgbClr val="000000"/>
              </a:solidFill>
              <a:latin typeface="Calibri"/>
              <a:ea typeface="Calibri"/>
              <a:cs typeface="Calibri"/>
            </a:rPr>
            <a:t>This graph shows monthly variation in values, with January having the highest and February the lowest. There is a noticeable increase during mid-year, especially around June to August, indicating a seasonal pattern in the data.</a:t>
          </a:r>
        </a:p>
        <a:p>
          <a:pPr algn="l" rtl="0">
            <a:defRPr sz="1000"/>
          </a:pPr>
          <a:endParaRPr lang="en-IN" sz="1100" b="0" i="0" u="none" strike="noStrike" baseline="0">
            <a:solidFill>
              <a:srgbClr val="000000"/>
            </a:solidFill>
            <a:latin typeface="Calibri"/>
            <a:ea typeface="Calibri"/>
            <a:cs typeface="Calibri"/>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ndula usha" refreshedDate="46120.691608680558" createdVersion="8" refreshedVersion="8" minRefreshableVersion="3" recordCount="80" xr:uid="{929F8092-6AB1-4C45-AF53-B646768B7608}">
  <cacheSource type="worksheet">
    <worksheetSource name="Table1"/>
  </cacheSource>
  <cacheFields count="13">
    <cacheField name="Date" numFmtId="0">
      <sharedItems count="80">
        <s v="06-Jan-2020"/>
        <s v="14-Feb-2020"/>
        <s v="23-Mar-2020"/>
        <s v="14-Apr-2020"/>
        <s v="21-May-2020"/>
        <s v="10-Jun-2020"/>
        <s v="16-Jul-2020"/>
        <s v="27-Aug-2020"/>
        <s v="07-Sep-2020"/>
        <s v="26-Oct-2020"/>
        <s v="16-Nov-2020"/>
        <s v="26-Dec-2020"/>
        <s v="31-Jan-2021"/>
        <s v="17-Feb-2021"/>
        <s v="06-Mar-2021"/>
        <s v="17-Apr-2021"/>
        <s v="17-May-2021"/>
        <s v="08-Jun-2021"/>
        <s v="26-Jul-2021"/>
        <s v="01-Aug-2021"/>
        <s v="01-Sep-2021"/>
        <s v="12-Oct-2021"/>
        <s v="30-Nov-2021"/>
        <s v="19-Dec-2021"/>
        <s v="14-Jan-2022"/>
        <s v="03-Feb-2022"/>
        <s v="05-Mar-2022"/>
        <s v="26-Apr-2022"/>
        <s v="25-May-2022"/>
        <s v="08-Jun-2022"/>
        <s v="30-Jul-2022"/>
        <s v="08-Aug-2022"/>
        <s v="23-Sep-2022"/>
        <s v="02-Oct-2022"/>
        <s v="14-Nov-2022"/>
        <s v="24-Dec-2022"/>
        <s v="25-Jan-2023"/>
        <s v="14-Feb-2023"/>
        <s v="20-Mar-2023"/>
        <s v="15-Apr-2023"/>
        <s v="02-May-2023"/>
        <s v="11-Jun-2023"/>
        <s v="18-Jul-2023"/>
        <s v="16-Aug-2023"/>
        <s v="23-Sep-2023"/>
        <s v="04-Oct-2023"/>
        <s v="21-Nov-2023"/>
        <s v="31-Dec-2023"/>
        <s v="31-Jan-2024"/>
        <s v="12-Feb-2024"/>
        <s v="24-Jan-2025"/>
        <s v="25-Feb-2025"/>
        <s v="24-Mar-2025"/>
        <s v="18-Apr-2025"/>
        <s v="01-May-2025"/>
        <s v="20-Jun-2025"/>
        <s v="06-Jul-2025"/>
        <s v="06-Aug-2025"/>
        <s v="29-Sep-2025"/>
        <s v="12-Oct-2025"/>
        <s v="26-Nov-2025"/>
        <s v="02-Dec-2025"/>
        <s v="24-Jan-2026"/>
        <s v="07-Feb-2026"/>
        <s v="29-Mar-2026"/>
        <s v="22-Apr-2026"/>
        <s v="14-May-2026"/>
        <s v="04-Jun-2026"/>
        <s v="10-Jul-2026"/>
        <s v="13-Aug-2026"/>
        <s v="02-Sep-2026"/>
        <s v="23-Oct-2026"/>
        <s v="24-Nov-2026"/>
        <s v="20-Dec-2026"/>
        <s v="25-Mar-2024"/>
        <s v="14-Jun-2024"/>
        <s v="20-Aug-2024"/>
        <s v="03-Oct-2024"/>
        <s v="24-Nov-2024"/>
        <s v="21-Dec-2024"/>
      </sharedItems>
    </cacheField>
    <cacheField name="Month" numFmtId="0">
      <sharedItems count="12">
        <s v="January"/>
        <s v="February"/>
        <s v="March"/>
        <s v="April"/>
        <s v="May"/>
        <s v="June"/>
        <s v="July"/>
        <s v="August"/>
        <s v="September"/>
        <s v="October"/>
        <s v="November"/>
        <s v="December"/>
      </sharedItems>
    </cacheField>
    <cacheField name="Season" numFmtId="0">
      <sharedItems count="4">
        <s v="Winter"/>
        <s v="Spring"/>
        <s v="Summer"/>
        <s v="Autumn"/>
      </sharedItems>
    </cacheField>
    <cacheField name="State" numFmtId="0">
      <sharedItems count="11">
        <s v="Kerala"/>
        <s v="Rajasthan"/>
        <s v="Assam"/>
        <s v="Maharashtra"/>
        <s v="West Bengal"/>
        <s v="Tamil Nadu"/>
        <s v="Odisha"/>
        <s v="Uttar Pradesh"/>
        <s v="Punjab"/>
        <s v="Gujarat"/>
        <s v="Karnataka"/>
      </sharedItems>
    </cacheField>
    <cacheField name="Avg Temp (°C)" numFmtId="0">
      <sharedItems containsSemiMixedTypes="0" containsString="0" containsNumber="1" minValue="12" maxValue="36" count="44">
        <n v="24"/>
        <n v="18"/>
        <n v="22"/>
        <n v="32"/>
        <n v="30"/>
        <n v="34"/>
        <n v="28"/>
        <n v="31"/>
        <n v="29"/>
        <n v="26"/>
        <n v="20"/>
        <n v="21"/>
        <n v="33"/>
        <n v="27"/>
        <n v="19"/>
        <n v="25"/>
        <n v="36"/>
        <n v="23"/>
        <n v="14"/>
        <n v="12"/>
        <n v="35"/>
        <n v="23.9"/>
        <n v="29.7"/>
        <n v="26.2"/>
        <n v="22.5"/>
        <n v="34.6"/>
        <n v="32.9"/>
        <n v="34.299999999999997"/>
        <n v="25.3"/>
        <n v="24.5"/>
        <n v="13.7"/>
        <n v="20.2"/>
        <n v="26.5"/>
        <n v="31.2"/>
        <n v="26.9"/>
        <n v="32.6"/>
        <n v="29.3"/>
        <n v="22.9"/>
        <n v="18.2"/>
        <n v="26.4"/>
        <n v="28.3"/>
        <n v="33.299999999999997"/>
        <n v="25.7"/>
        <n v="19.2"/>
      </sharedItems>
    </cacheField>
    <cacheField name="Max Temp (°C)" numFmtId="0">
      <sharedItems containsSemiMixedTypes="0" containsString="0" containsNumber="1" minValue="16.899999999999999" maxValue="42"/>
    </cacheField>
    <cacheField name="Min Temp (°C)" numFmtId="0">
      <sharedItems containsSemiMixedTypes="0" containsString="0" containsNumber="1" minValue="7" maxValue="30"/>
    </cacheField>
    <cacheField name="Rainfall (mm)" numFmtId="0">
      <sharedItems containsSemiMixedTypes="0" containsString="0" containsNumber="1" minValue="4" maxValue="177.4"/>
    </cacheField>
    <cacheField name="Humidity (%)" numFmtId="0">
      <sharedItems containsSemiMixedTypes="0" containsString="0" containsNumber="1" containsInteger="1" minValue="38" maxValue="92" count="38">
        <n v="82"/>
        <n v="45"/>
        <n v="78"/>
        <n v="55"/>
        <n v="68"/>
        <n v="80"/>
        <n v="90"/>
        <n v="85"/>
        <n v="72"/>
        <n v="60"/>
        <n v="52"/>
        <n v="65"/>
        <n v="76"/>
        <n v="42"/>
        <n v="58"/>
        <n v="70"/>
        <n v="83"/>
        <n v="88"/>
        <n v="92"/>
        <n v="74"/>
        <n v="63"/>
        <n v="50"/>
        <n v="38"/>
        <n v="86"/>
        <n v="64"/>
        <n v="44"/>
        <n v="84"/>
        <n v="48"/>
        <n v="47"/>
        <n v="57"/>
        <n v="62"/>
        <n v="79"/>
        <n v="43"/>
        <n v="69"/>
        <n v="59"/>
        <n v="56"/>
        <n v="49"/>
        <n v="39"/>
      </sharedItems>
    </cacheField>
    <cacheField name="Wind Speed (km/h)" numFmtId="0">
      <sharedItems containsSemiMixedTypes="0" containsString="0" containsNumber="1" minValue="8.1999999999999993" maxValue="29.6"/>
    </cacheField>
    <cacheField name="Total Rainfall (mm)" numFmtId="0">
      <sharedItems containsSemiMixedTypes="0" containsString="0" containsNumber="1" containsInteger="1" minValue="27" maxValue="530"/>
    </cacheField>
    <cacheField name="Avg Rainfall (mm)" numFmtId="0">
      <sharedItems containsSemiMixedTypes="0" containsString="0" containsNumber="1" minValue="6.8" maxValue="132.5"/>
    </cacheField>
    <cacheField name="Rainy Days" numFmtId="0">
      <sharedItems containsSemiMixedTypes="0" containsString="0" containsNumber="1" containsInteger="1" minValue="0" maxValue="6"/>
    </cacheField>
  </cacheFields>
  <extLst>
    <ext xmlns:x14="http://schemas.microsoft.com/office/spreadsheetml/2009/9/main" uri="{725AE2AE-9491-48be-B2B4-4EB974FC3084}">
      <x14:pivotCacheDefinition pivotCacheId="1802203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
  <r>
    <x v="0"/>
    <x v="0"/>
    <x v="0"/>
    <x v="0"/>
    <x v="0"/>
    <n v="28"/>
    <n v="20"/>
    <n v="52"/>
    <x v="0"/>
    <n v="18"/>
    <n v="530"/>
    <n v="132.5"/>
    <n v="6"/>
  </r>
  <r>
    <x v="1"/>
    <x v="1"/>
    <x v="0"/>
    <x v="1"/>
    <x v="1"/>
    <n v="24"/>
    <n v="12"/>
    <n v="4"/>
    <x v="1"/>
    <n v="22"/>
    <n v="27"/>
    <n v="6.8"/>
    <n v="0"/>
  </r>
  <r>
    <x v="2"/>
    <x v="2"/>
    <x v="1"/>
    <x v="2"/>
    <x v="2"/>
    <n v="27"/>
    <n v="17"/>
    <n v="62"/>
    <x v="2"/>
    <n v="16"/>
    <n v="495"/>
    <n v="123.8"/>
    <n v="4"/>
  </r>
  <r>
    <x v="3"/>
    <x v="3"/>
    <x v="1"/>
    <x v="3"/>
    <x v="3"/>
    <n v="37"/>
    <n v="27"/>
    <n v="18"/>
    <x v="3"/>
    <n v="14"/>
    <n v="239"/>
    <n v="47.8"/>
    <n v="2"/>
  </r>
  <r>
    <x v="4"/>
    <x v="4"/>
    <x v="1"/>
    <x v="4"/>
    <x v="4"/>
    <n v="35"/>
    <n v="25"/>
    <n v="35"/>
    <x v="4"/>
    <n v="15"/>
    <n v="319"/>
    <n v="79.8"/>
    <n v="2"/>
  </r>
  <r>
    <x v="5"/>
    <x v="5"/>
    <x v="2"/>
    <x v="5"/>
    <x v="5"/>
    <n v="39"/>
    <n v="29"/>
    <n v="88"/>
    <x v="5"/>
    <n v="20"/>
    <n v="298"/>
    <n v="59.6"/>
    <n v="2"/>
  </r>
  <r>
    <x v="6"/>
    <x v="6"/>
    <x v="2"/>
    <x v="0"/>
    <x v="6"/>
    <n v="32"/>
    <n v="24"/>
    <n v="145"/>
    <x v="6"/>
    <n v="22"/>
    <n v="530"/>
    <n v="132.5"/>
    <n v="6"/>
  </r>
  <r>
    <x v="7"/>
    <x v="7"/>
    <x v="2"/>
    <x v="6"/>
    <x v="7"/>
    <n v="36"/>
    <n v="26"/>
    <n v="112"/>
    <x v="7"/>
    <n v="25"/>
    <n v="318"/>
    <n v="79.5"/>
    <n v="2"/>
  </r>
  <r>
    <x v="8"/>
    <x v="8"/>
    <x v="3"/>
    <x v="7"/>
    <x v="8"/>
    <n v="34"/>
    <n v="24"/>
    <n v="58"/>
    <x v="8"/>
    <n v="18"/>
    <n v="102"/>
    <n v="34"/>
    <n v="1"/>
  </r>
  <r>
    <x v="9"/>
    <x v="9"/>
    <x v="3"/>
    <x v="8"/>
    <x v="2"/>
    <n v="27"/>
    <n v="17"/>
    <n v="28"/>
    <x v="9"/>
    <n v="20"/>
    <n v="61"/>
    <n v="20.3"/>
    <n v="0"/>
  </r>
  <r>
    <x v="10"/>
    <x v="10"/>
    <x v="3"/>
    <x v="9"/>
    <x v="9"/>
    <n v="31"/>
    <n v="21"/>
    <n v="15"/>
    <x v="10"/>
    <n v="16"/>
    <n v="53"/>
    <n v="13.2"/>
    <n v="0"/>
  </r>
  <r>
    <x v="11"/>
    <x v="11"/>
    <x v="0"/>
    <x v="10"/>
    <x v="10"/>
    <n v="25"/>
    <n v="15"/>
    <n v="38"/>
    <x v="11"/>
    <n v="14"/>
    <n v="204"/>
    <n v="51"/>
    <n v="2"/>
  </r>
  <r>
    <x v="12"/>
    <x v="0"/>
    <x v="0"/>
    <x v="2"/>
    <x v="11"/>
    <n v="26"/>
    <n v="16"/>
    <n v="28"/>
    <x v="12"/>
    <n v="17"/>
    <n v="495"/>
    <n v="123.8"/>
    <n v="4"/>
  </r>
  <r>
    <x v="13"/>
    <x v="1"/>
    <x v="0"/>
    <x v="0"/>
    <x v="9"/>
    <n v="30"/>
    <n v="22"/>
    <n v="48"/>
    <x v="5"/>
    <n v="19"/>
    <n v="530"/>
    <n v="132.5"/>
    <n v="6"/>
  </r>
  <r>
    <x v="14"/>
    <x v="2"/>
    <x v="1"/>
    <x v="1"/>
    <x v="0"/>
    <n v="30"/>
    <n v="18"/>
    <n v="6"/>
    <x v="13"/>
    <n v="24"/>
    <n v="27"/>
    <n v="6.8"/>
    <n v="0"/>
  </r>
  <r>
    <x v="15"/>
    <x v="3"/>
    <x v="1"/>
    <x v="5"/>
    <x v="12"/>
    <n v="38"/>
    <n v="28"/>
    <n v="22"/>
    <x v="14"/>
    <n v="13"/>
    <n v="298"/>
    <n v="59.6"/>
    <n v="2"/>
  </r>
  <r>
    <x v="16"/>
    <x v="4"/>
    <x v="1"/>
    <x v="6"/>
    <x v="3"/>
    <n v="37"/>
    <n v="27"/>
    <n v="42"/>
    <x v="15"/>
    <n v="16"/>
    <n v="318"/>
    <n v="79.5"/>
    <n v="2"/>
  </r>
  <r>
    <x v="17"/>
    <x v="5"/>
    <x v="2"/>
    <x v="4"/>
    <x v="4"/>
    <n v="35"/>
    <n v="25"/>
    <n v="95"/>
    <x v="16"/>
    <n v="21"/>
    <n v="319"/>
    <n v="79.8"/>
    <n v="2"/>
  </r>
  <r>
    <x v="18"/>
    <x v="6"/>
    <x v="2"/>
    <x v="3"/>
    <x v="13"/>
    <n v="32"/>
    <n v="22"/>
    <n v="128"/>
    <x v="17"/>
    <n v="23"/>
    <n v="239"/>
    <n v="47.8"/>
    <n v="2"/>
  </r>
  <r>
    <x v="19"/>
    <x v="7"/>
    <x v="2"/>
    <x v="2"/>
    <x v="8"/>
    <n v="34"/>
    <n v="24"/>
    <n v="162"/>
    <x v="18"/>
    <n v="26"/>
    <n v="495"/>
    <n v="123.8"/>
    <n v="4"/>
  </r>
  <r>
    <x v="20"/>
    <x v="8"/>
    <x v="3"/>
    <x v="10"/>
    <x v="6"/>
    <n v="33"/>
    <n v="23"/>
    <n v="62"/>
    <x v="19"/>
    <n v="19"/>
    <n v="204"/>
    <n v="51"/>
    <n v="2"/>
  </r>
  <r>
    <x v="21"/>
    <x v="9"/>
    <x v="3"/>
    <x v="7"/>
    <x v="0"/>
    <n v="29"/>
    <n v="19"/>
    <n v="32"/>
    <x v="20"/>
    <n v="18"/>
    <n v="102"/>
    <n v="34"/>
    <n v="1"/>
  </r>
  <r>
    <x v="22"/>
    <x v="10"/>
    <x v="3"/>
    <x v="8"/>
    <x v="10"/>
    <n v="25"/>
    <n v="15"/>
    <n v="18"/>
    <x v="3"/>
    <n v="17"/>
    <n v="61"/>
    <n v="20.3"/>
    <n v="0"/>
  </r>
  <r>
    <x v="23"/>
    <x v="11"/>
    <x v="0"/>
    <x v="9"/>
    <x v="2"/>
    <n v="27"/>
    <n v="17"/>
    <n v="10"/>
    <x v="21"/>
    <n v="15"/>
    <n v="53"/>
    <n v="13.2"/>
    <n v="0"/>
  </r>
  <r>
    <x v="24"/>
    <x v="0"/>
    <x v="0"/>
    <x v="4"/>
    <x v="14"/>
    <n v="24"/>
    <n v="14"/>
    <n v="22"/>
    <x v="8"/>
    <n v="20"/>
    <n v="319"/>
    <n v="79.8"/>
    <n v="2"/>
  </r>
  <r>
    <x v="25"/>
    <x v="1"/>
    <x v="0"/>
    <x v="6"/>
    <x v="2"/>
    <n v="27"/>
    <n v="17"/>
    <n v="18"/>
    <x v="4"/>
    <n v="18"/>
    <n v="318"/>
    <n v="79.5"/>
    <n v="2"/>
  </r>
  <r>
    <x v="26"/>
    <x v="2"/>
    <x v="1"/>
    <x v="0"/>
    <x v="6"/>
    <n v="33"/>
    <n v="23"/>
    <n v="58"/>
    <x v="2"/>
    <n v="16"/>
    <n v="530"/>
    <n v="132.5"/>
    <n v="6"/>
  </r>
  <r>
    <x v="27"/>
    <x v="3"/>
    <x v="1"/>
    <x v="2"/>
    <x v="15"/>
    <n v="30"/>
    <n v="20"/>
    <n v="70"/>
    <x v="5"/>
    <n v="17"/>
    <n v="495"/>
    <n v="123.8"/>
    <n v="4"/>
  </r>
  <r>
    <x v="28"/>
    <x v="4"/>
    <x v="1"/>
    <x v="1"/>
    <x v="16"/>
    <n v="42"/>
    <n v="30"/>
    <n v="5"/>
    <x v="22"/>
    <n v="28"/>
    <n v="27"/>
    <n v="6.8"/>
    <n v="0"/>
  </r>
  <r>
    <x v="29"/>
    <x v="5"/>
    <x v="2"/>
    <x v="10"/>
    <x v="8"/>
    <n v="34"/>
    <n v="24"/>
    <n v="82"/>
    <x v="0"/>
    <n v="20"/>
    <n v="204"/>
    <n v="51"/>
    <n v="2"/>
  </r>
  <r>
    <x v="30"/>
    <x v="6"/>
    <x v="2"/>
    <x v="5"/>
    <x v="4"/>
    <n v="35"/>
    <n v="25"/>
    <n v="118"/>
    <x v="23"/>
    <n v="22"/>
    <n v="298"/>
    <n v="59.6"/>
    <n v="2"/>
  </r>
  <r>
    <x v="31"/>
    <x v="7"/>
    <x v="2"/>
    <x v="0"/>
    <x v="13"/>
    <n v="31"/>
    <n v="23"/>
    <n v="155"/>
    <x v="18"/>
    <n v="24"/>
    <n v="530"/>
    <n v="132.5"/>
    <n v="6"/>
  </r>
  <r>
    <x v="32"/>
    <x v="8"/>
    <x v="3"/>
    <x v="3"/>
    <x v="8"/>
    <n v="34"/>
    <n v="24"/>
    <n v="55"/>
    <x v="15"/>
    <n v="18"/>
    <n v="239"/>
    <n v="47.8"/>
    <n v="2"/>
  </r>
  <r>
    <x v="33"/>
    <x v="9"/>
    <x v="3"/>
    <x v="9"/>
    <x v="6"/>
    <n v="33"/>
    <n v="23"/>
    <n v="20"/>
    <x v="3"/>
    <n v="15"/>
    <n v="53"/>
    <n v="13.2"/>
    <n v="0"/>
  </r>
  <r>
    <x v="34"/>
    <x v="10"/>
    <x v="3"/>
    <x v="4"/>
    <x v="17"/>
    <n v="28"/>
    <n v="18"/>
    <n v="35"/>
    <x v="11"/>
    <n v="17"/>
    <n v="319"/>
    <n v="79.8"/>
    <n v="2"/>
  </r>
  <r>
    <x v="35"/>
    <x v="11"/>
    <x v="0"/>
    <x v="7"/>
    <x v="18"/>
    <n v="19"/>
    <n v="9"/>
    <n v="12"/>
    <x v="14"/>
    <n v="19"/>
    <n v="102"/>
    <n v="34"/>
    <n v="1"/>
  </r>
  <r>
    <x v="36"/>
    <x v="0"/>
    <x v="0"/>
    <x v="8"/>
    <x v="19"/>
    <n v="17"/>
    <n v="7"/>
    <n v="15"/>
    <x v="15"/>
    <n v="22"/>
    <n v="61"/>
    <n v="20.3"/>
    <n v="0"/>
  </r>
  <r>
    <x v="37"/>
    <x v="1"/>
    <x v="0"/>
    <x v="10"/>
    <x v="0"/>
    <n v="29"/>
    <n v="19"/>
    <n v="22"/>
    <x v="24"/>
    <n v="16"/>
    <n v="204"/>
    <n v="51"/>
    <n v="2"/>
  </r>
  <r>
    <x v="38"/>
    <x v="2"/>
    <x v="1"/>
    <x v="9"/>
    <x v="6"/>
    <n v="34"/>
    <n v="22"/>
    <n v="8"/>
    <x v="25"/>
    <n v="20"/>
    <n v="53"/>
    <n v="13.2"/>
    <n v="0"/>
  </r>
  <r>
    <x v="39"/>
    <x v="3"/>
    <x v="1"/>
    <x v="6"/>
    <x v="12"/>
    <n v="38"/>
    <n v="28"/>
    <n v="38"/>
    <x v="11"/>
    <n v="15"/>
    <n v="318"/>
    <n v="79.5"/>
    <n v="2"/>
  </r>
  <r>
    <x v="40"/>
    <x v="4"/>
    <x v="1"/>
    <x v="5"/>
    <x v="20"/>
    <n v="40"/>
    <n v="30"/>
    <n v="28"/>
    <x v="9"/>
    <n v="14"/>
    <n v="298"/>
    <n v="59.6"/>
    <n v="2"/>
  </r>
  <r>
    <x v="41"/>
    <x v="5"/>
    <x v="2"/>
    <x v="2"/>
    <x v="6"/>
    <n v="33"/>
    <n v="23"/>
    <n v="148"/>
    <x v="6"/>
    <n v="23"/>
    <n v="495"/>
    <n v="123.8"/>
    <n v="4"/>
  </r>
  <r>
    <x v="42"/>
    <x v="6"/>
    <x v="2"/>
    <x v="4"/>
    <x v="8"/>
    <n v="34"/>
    <n v="24"/>
    <n v="132"/>
    <x v="17"/>
    <n v="22"/>
    <n v="319"/>
    <n v="79.8"/>
    <n v="2"/>
  </r>
  <r>
    <x v="43"/>
    <x v="7"/>
    <x v="2"/>
    <x v="6"/>
    <x v="4"/>
    <n v="35"/>
    <n v="25"/>
    <n v="108"/>
    <x v="26"/>
    <n v="24"/>
    <n v="318"/>
    <n v="79.5"/>
    <n v="2"/>
  </r>
  <r>
    <x v="44"/>
    <x v="8"/>
    <x v="3"/>
    <x v="0"/>
    <x v="13"/>
    <n v="32"/>
    <n v="22"/>
    <n v="72"/>
    <x v="2"/>
    <n v="20"/>
    <n v="530"/>
    <n v="132.5"/>
    <n v="6"/>
  </r>
  <r>
    <x v="45"/>
    <x v="9"/>
    <x v="3"/>
    <x v="1"/>
    <x v="9"/>
    <n v="32"/>
    <n v="20"/>
    <n v="12"/>
    <x v="27"/>
    <n v="18"/>
    <n v="27"/>
    <n v="6.8"/>
    <n v="0"/>
  </r>
  <r>
    <x v="46"/>
    <x v="10"/>
    <x v="3"/>
    <x v="3"/>
    <x v="0"/>
    <n v="29"/>
    <n v="19"/>
    <n v="28"/>
    <x v="9"/>
    <n v="16"/>
    <n v="239"/>
    <n v="47.8"/>
    <n v="2"/>
  </r>
  <r>
    <x v="47"/>
    <x v="11"/>
    <x v="0"/>
    <x v="2"/>
    <x v="1"/>
    <n v="23"/>
    <n v="13"/>
    <n v="25"/>
    <x v="8"/>
    <n v="18"/>
    <n v="495"/>
    <n v="123.8"/>
    <n v="4"/>
  </r>
  <r>
    <x v="48"/>
    <x v="0"/>
    <x v="0"/>
    <x v="5"/>
    <x v="2"/>
    <n v="27"/>
    <n v="17"/>
    <n v="42"/>
    <x v="19"/>
    <n v="17"/>
    <n v="298"/>
    <n v="59.6"/>
    <n v="2"/>
  </r>
  <r>
    <x v="49"/>
    <x v="1"/>
    <x v="0"/>
    <x v="3"/>
    <x v="9"/>
    <n v="31"/>
    <n v="21"/>
    <n v="10"/>
    <x v="3"/>
    <n v="15"/>
    <n v="239"/>
    <n v="47.8"/>
    <n v="2"/>
  </r>
  <r>
    <x v="50"/>
    <x v="0"/>
    <x v="0"/>
    <x v="0"/>
    <x v="10"/>
    <n v="23.3"/>
    <n v="14.6"/>
    <n v="40.5"/>
    <x v="1"/>
    <n v="11.5"/>
    <n v="530"/>
    <n v="132.5"/>
    <n v="6"/>
  </r>
  <r>
    <x v="51"/>
    <x v="1"/>
    <x v="0"/>
    <x v="1"/>
    <x v="21"/>
    <n v="27.5"/>
    <n v="20.8"/>
    <n v="4.0999999999999996"/>
    <x v="13"/>
    <n v="13.2"/>
    <n v="27"/>
    <n v="6.8"/>
    <n v="0"/>
  </r>
  <r>
    <x v="52"/>
    <x v="2"/>
    <x v="1"/>
    <x v="5"/>
    <x v="22"/>
    <n v="35.1"/>
    <n v="24.7"/>
    <n v="18"/>
    <x v="28"/>
    <n v="27.7"/>
    <n v="298"/>
    <n v="59.6"/>
    <n v="2"/>
  </r>
  <r>
    <x v="53"/>
    <x v="3"/>
    <x v="1"/>
    <x v="4"/>
    <x v="23"/>
    <n v="30.9"/>
    <n v="22"/>
    <n v="26.4"/>
    <x v="25"/>
    <n v="11.2"/>
    <n v="319"/>
    <n v="79.8"/>
    <n v="2"/>
  </r>
  <r>
    <x v="54"/>
    <x v="4"/>
    <x v="1"/>
    <x v="2"/>
    <x v="24"/>
    <n v="26.9"/>
    <n v="18.3"/>
    <n v="55.2"/>
    <x v="29"/>
    <n v="16.5"/>
    <n v="495"/>
    <n v="123.8"/>
    <n v="4"/>
  </r>
  <r>
    <x v="55"/>
    <x v="5"/>
    <x v="2"/>
    <x v="9"/>
    <x v="25"/>
    <n v="39.700000000000003"/>
    <n v="28.7"/>
    <n v="56.7"/>
    <x v="21"/>
    <n v="9.5"/>
    <n v="53"/>
    <n v="13.2"/>
    <n v="0"/>
  </r>
  <r>
    <x v="56"/>
    <x v="6"/>
    <x v="2"/>
    <x v="3"/>
    <x v="26"/>
    <n v="37.700000000000003"/>
    <n v="28.2"/>
    <n v="45"/>
    <x v="10"/>
    <n v="12"/>
    <n v="239"/>
    <n v="47.8"/>
    <n v="2"/>
  </r>
  <r>
    <x v="57"/>
    <x v="7"/>
    <x v="2"/>
    <x v="6"/>
    <x v="27"/>
    <n v="38.299999999999997"/>
    <n v="29"/>
    <n v="125.1"/>
    <x v="12"/>
    <n v="13.4"/>
    <n v="318"/>
    <n v="79.5"/>
    <n v="2"/>
  </r>
  <r>
    <x v="58"/>
    <x v="8"/>
    <x v="3"/>
    <x v="10"/>
    <x v="28"/>
    <n v="30.6"/>
    <n v="21.2"/>
    <n v="82.6"/>
    <x v="20"/>
    <n v="22.9"/>
    <n v="204"/>
    <n v="51"/>
    <n v="2"/>
  </r>
  <r>
    <x v="59"/>
    <x v="9"/>
    <x v="3"/>
    <x v="7"/>
    <x v="11"/>
    <n v="26.8"/>
    <n v="17.5"/>
    <n v="79.7"/>
    <x v="30"/>
    <n v="8.3000000000000007"/>
    <n v="102"/>
    <n v="34"/>
    <n v="1"/>
  </r>
  <r>
    <x v="60"/>
    <x v="10"/>
    <x v="3"/>
    <x v="0"/>
    <x v="29"/>
    <n v="28.2"/>
    <n v="18.899999999999999"/>
    <n v="154.5"/>
    <x v="31"/>
    <n v="9.5"/>
    <n v="530"/>
    <n v="132.5"/>
    <n v="6"/>
  </r>
  <r>
    <x v="61"/>
    <x v="11"/>
    <x v="0"/>
    <x v="5"/>
    <x v="2"/>
    <n v="25.2"/>
    <n v="18.100000000000001"/>
    <n v="62.2"/>
    <x v="14"/>
    <n v="22.5"/>
    <n v="298"/>
    <n v="59.6"/>
    <n v="2"/>
  </r>
  <r>
    <x v="62"/>
    <x v="0"/>
    <x v="0"/>
    <x v="2"/>
    <x v="30"/>
    <n v="16.899999999999999"/>
    <n v="9.6999999999999993"/>
    <n v="23"/>
    <x v="27"/>
    <n v="29.6"/>
    <n v="495"/>
    <n v="123.8"/>
    <n v="4"/>
  </r>
  <r>
    <x v="63"/>
    <x v="1"/>
    <x v="0"/>
    <x v="9"/>
    <x v="31"/>
    <n v="23.6"/>
    <n v="15.2"/>
    <n v="4.9000000000000004"/>
    <x v="32"/>
    <n v="18.5"/>
    <n v="53"/>
    <n v="13.2"/>
    <n v="0"/>
  </r>
  <r>
    <x v="64"/>
    <x v="2"/>
    <x v="1"/>
    <x v="6"/>
    <x v="32"/>
    <n v="30"/>
    <n v="22.4"/>
    <n v="33.5"/>
    <x v="21"/>
    <n v="18.7"/>
    <n v="318"/>
    <n v="79.5"/>
    <n v="2"/>
  </r>
  <r>
    <x v="65"/>
    <x v="3"/>
    <x v="1"/>
    <x v="1"/>
    <x v="33"/>
    <n v="35.799999999999997"/>
    <n v="27.4"/>
    <n v="9.1"/>
    <x v="32"/>
    <n v="8.1999999999999993"/>
    <n v="27"/>
    <n v="6.8"/>
    <n v="0"/>
  </r>
  <r>
    <x v="66"/>
    <x v="4"/>
    <x v="1"/>
    <x v="10"/>
    <x v="34"/>
    <n v="30.7"/>
    <n v="22.9"/>
    <n v="22.5"/>
    <x v="13"/>
    <n v="29"/>
    <n v="204"/>
    <n v="51"/>
    <n v="2"/>
  </r>
  <r>
    <x v="67"/>
    <x v="5"/>
    <x v="2"/>
    <x v="0"/>
    <x v="35"/>
    <n v="38.5"/>
    <n v="26.9"/>
    <n v="120.3"/>
    <x v="33"/>
    <n v="10.1"/>
    <n v="530"/>
    <n v="132.5"/>
    <n v="6"/>
  </r>
  <r>
    <x v="68"/>
    <x v="6"/>
    <x v="2"/>
    <x v="4"/>
    <x v="35"/>
    <n v="38"/>
    <n v="29.4"/>
    <n v="97.5"/>
    <x v="30"/>
    <n v="14.2"/>
    <n v="319"/>
    <n v="79.8"/>
    <n v="2"/>
  </r>
  <r>
    <x v="69"/>
    <x v="7"/>
    <x v="2"/>
    <x v="7"/>
    <x v="36"/>
    <n v="33.799999999999997"/>
    <n v="25.6"/>
    <n v="68.5"/>
    <x v="3"/>
    <n v="12"/>
    <n v="102"/>
    <n v="34"/>
    <n v="1"/>
  </r>
  <r>
    <x v="70"/>
    <x v="8"/>
    <x v="3"/>
    <x v="3"/>
    <x v="13"/>
    <n v="32.299999999999997"/>
    <n v="22.2"/>
    <n v="76"/>
    <x v="34"/>
    <n v="24.4"/>
    <n v="239"/>
    <n v="47.8"/>
    <n v="2"/>
  </r>
  <r>
    <x v="71"/>
    <x v="9"/>
    <x v="3"/>
    <x v="5"/>
    <x v="15"/>
    <n v="29.4"/>
    <n v="21.8"/>
    <n v="149.5"/>
    <x v="0"/>
    <n v="11.9"/>
    <n v="298"/>
    <n v="59.6"/>
    <n v="2"/>
  </r>
  <r>
    <x v="72"/>
    <x v="10"/>
    <x v="3"/>
    <x v="2"/>
    <x v="37"/>
    <n v="27.7"/>
    <n v="17.7"/>
    <n v="99.3"/>
    <x v="24"/>
    <n v="11.4"/>
    <n v="495"/>
    <n v="123.8"/>
    <n v="4"/>
  </r>
  <r>
    <x v="73"/>
    <x v="11"/>
    <x v="0"/>
    <x v="6"/>
    <x v="38"/>
    <n v="22.7"/>
    <n v="13.6"/>
    <n v="19"/>
    <x v="28"/>
    <n v="10.199999999999999"/>
    <n v="318"/>
    <n v="79.5"/>
    <n v="2"/>
  </r>
  <r>
    <x v="74"/>
    <x v="2"/>
    <x v="1"/>
    <x v="10"/>
    <x v="39"/>
    <n v="30.4"/>
    <n v="21.8"/>
    <n v="21.2"/>
    <x v="13"/>
    <n v="21.7"/>
    <n v="204"/>
    <n v="51"/>
    <n v="2"/>
  </r>
  <r>
    <x v="75"/>
    <x v="5"/>
    <x v="2"/>
    <x v="7"/>
    <x v="40"/>
    <n v="33.700000000000003"/>
    <n v="22.4"/>
    <n v="69"/>
    <x v="35"/>
    <n v="15"/>
    <n v="102"/>
    <n v="34"/>
    <n v="1"/>
  </r>
  <r>
    <x v="76"/>
    <x v="7"/>
    <x v="2"/>
    <x v="5"/>
    <x v="41"/>
    <n v="36.5"/>
    <n v="27.9"/>
    <n v="37.200000000000003"/>
    <x v="21"/>
    <n v="17.899999999999999"/>
    <n v="298"/>
    <n v="59.6"/>
    <n v="2"/>
  </r>
  <r>
    <x v="77"/>
    <x v="9"/>
    <x v="3"/>
    <x v="0"/>
    <x v="42"/>
    <n v="30.8"/>
    <n v="21.3"/>
    <n v="177.4"/>
    <x v="17"/>
    <n v="27.3"/>
    <n v="530"/>
    <n v="132.5"/>
    <n v="6"/>
  </r>
  <r>
    <x v="78"/>
    <x v="10"/>
    <x v="3"/>
    <x v="9"/>
    <x v="23"/>
    <n v="30.5"/>
    <n v="22.5"/>
    <n v="34.5"/>
    <x v="36"/>
    <n v="26"/>
    <n v="53"/>
    <n v="13.2"/>
    <n v="0"/>
  </r>
  <r>
    <x v="79"/>
    <x v="11"/>
    <x v="0"/>
    <x v="4"/>
    <x v="43"/>
    <n v="23.4"/>
    <n v="15.2"/>
    <n v="12.3"/>
    <x v="37"/>
    <n v="28.1"/>
    <n v="319"/>
    <n v="79.8"/>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35515BC-61D1-408B-B4AF-DF9245A6AE6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18:B30" firstHeaderRow="1" firstDataRow="1" firstDataCol="1"/>
  <pivotFields count="13">
    <pivotField showAll="0"/>
    <pivotField showAll="0"/>
    <pivotField showAll="0"/>
    <pivotField axis="axisRow" showAll="0">
      <items count="12">
        <item x="2"/>
        <item x="9"/>
        <item x="10"/>
        <item x="0"/>
        <item x="3"/>
        <item x="6"/>
        <item x="8"/>
        <item x="1"/>
        <item x="5"/>
        <item x="7"/>
        <item x="4"/>
        <item t="default"/>
      </items>
    </pivotField>
    <pivotField showAll="0"/>
    <pivotField showAll="0"/>
    <pivotField showAll="0"/>
    <pivotField showAll="0"/>
    <pivotField dataField="1" showAll="0"/>
    <pivotField showAll="0"/>
    <pivotField showAll="0"/>
    <pivotField showAll="0"/>
    <pivotField showAll="0"/>
  </pivotFields>
  <rowFields count="1">
    <field x="3"/>
  </rowFields>
  <rowItems count="12">
    <i>
      <x/>
    </i>
    <i>
      <x v="1"/>
    </i>
    <i>
      <x v="2"/>
    </i>
    <i>
      <x v="3"/>
    </i>
    <i>
      <x v="4"/>
    </i>
    <i>
      <x v="5"/>
    </i>
    <i>
      <x v="6"/>
    </i>
    <i>
      <x v="7"/>
    </i>
    <i>
      <x v="8"/>
    </i>
    <i>
      <x v="9"/>
    </i>
    <i>
      <x v="10"/>
    </i>
    <i t="grand">
      <x/>
    </i>
  </rowItems>
  <colItems count="1">
    <i/>
  </colItems>
  <dataFields count="1">
    <dataField name="Sum of Humidity (%)" fld="8" baseField="0" baseItem="0"/>
  </dataFields>
  <chartFormats count="3">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EDC7ADC-473C-4C43-83EE-1E625687CF09}"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2:A53" firstHeaderRow="1" firstDataRow="1" firstDataCol="0"/>
  <pivotFields count="13">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Items count="1">
    <i/>
  </rowItems>
  <colItems count="1">
    <i/>
  </colItems>
  <dataFields count="1">
    <dataField name="Average of Humidity (%)" fld="8"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8072903-99A8-421C-BCBC-BC73450A66F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M3:N8" firstHeaderRow="1" firstDataRow="1" firstDataCol="1"/>
  <pivotFields count="13">
    <pivotField showAll="0">
      <items count="81">
        <item x="19"/>
        <item x="54"/>
        <item x="20"/>
        <item x="61"/>
        <item x="40"/>
        <item x="33"/>
        <item x="70"/>
        <item x="25"/>
        <item x="77"/>
        <item x="67"/>
        <item x="45"/>
        <item x="26"/>
        <item x="57"/>
        <item x="0"/>
        <item x="56"/>
        <item x="14"/>
        <item x="63"/>
        <item x="8"/>
        <item x="31"/>
        <item x="17"/>
        <item x="29"/>
        <item x="68"/>
        <item x="5"/>
        <item x="41"/>
        <item x="49"/>
        <item x="21"/>
        <item x="59"/>
        <item x="69"/>
        <item x="3"/>
        <item x="1"/>
        <item x="37"/>
        <item x="24"/>
        <item x="75"/>
        <item x="66"/>
        <item x="34"/>
        <item x="39"/>
        <item x="43"/>
        <item x="6"/>
        <item x="10"/>
        <item x="15"/>
        <item x="13"/>
        <item x="16"/>
        <item x="53"/>
        <item x="42"/>
        <item x="23"/>
        <item x="76"/>
        <item x="73"/>
        <item x="55"/>
        <item x="38"/>
        <item x="79"/>
        <item x="4"/>
        <item x="46"/>
        <item x="65"/>
        <item x="2"/>
        <item x="71"/>
        <item x="32"/>
        <item x="44"/>
        <item x="35"/>
        <item x="50"/>
        <item x="62"/>
        <item x="52"/>
        <item x="78"/>
        <item x="72"/>
        <item x="51"/>
        <item x="36"/>
        <item x="74"/>
        <item x="28"/>
        <item x="27"/>
        <item x="11"/>
        <item x="18"/>
        <item x="60"/>
        <item x="9"/>
        <item x="7"/>
        <item x="64"/>
        <item x="58"/>
        <item x="30"/>
        <item x="22"/>
        <item x="47"/>
        <item x="12"/>
        <item x="48"/>
        <item t="default"/>
      </items>
    </pivotField>
    <pivotField showAll="0">
      <items count="13">
        <item x="0"/>
        <item x="1"/>
        <item x="2"/>
        <item x="3"/>
        <item x="4"/>
        <item x="5"/>
        <item x="6"/>
        <item x="7"/>
        <item x="8"/>
        <item x="9"/>
        <item x="10"/>
        <item x="11"/>
        <item t="default"/>
      </items>
    </pivotField>
    <pivotField axis="axisRow" dataField="1" showAll="0">
      <items count="5">
        <item x="3"/>
        <item x="1"/>
        <item x="2"/>
        <item x="0"/>
        <item t="default"/>
      </items>
    </pivotField>
    <pivotField showAll="0"/>
    <pivotField showAll="0"/>
    <pivotField showAll="0"/>
    <pivotField showAll="0"/>
    <pivotField showAll="0"/>
    <pivotField showAll="0"/>
    <pivotField showAll="0"/>
    <pivotField showAll="0"/>
    <pivotField showAll="0"/>
    <pivotField showAll="0"/>
  </pivotFields>
  <rowFields count="1">
    <field x="2"/>
  </rowFields>
  <rowItems count="5">
    <i>
      <x/>
    </i>
    <i>
      <x v="1"/>
    </i>
    <i>
      <x v="2"/>
    </i>
    <i>
      <x v="3"/>
    </i>
    <i t="grand">
      <x/>
    </i>
  </rowItems>
  <colItems count="1">
    <i/>
  </colItems>
  <dataFields count="1">
    <dataField name="Count of Season" fld="2" subtotal="count" baseField="2" baseItem="0"/>
  </dataFields>
  <chartFormats count="15">
    <chartFormat chart="2" format="0"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2" count="1" selected="0">
            <x v="0"/>
          </reference>
        </references>
      </pivotArea>
    </chartFormat>
    <chartFormat chart="5" format="8">
      <pivotArea type="data" outline="0" fieldPosition="0">
        <references count="2">
          <reference field="4294967294" count="1" selected="0">
            <x v="0"/>
          </reference>
          <reference field="2" count="1" selected="0">
            <x v="1"/>
          </reference>
        </references>
      </pivotArea>
    </chartFormat>
    <chartFormat chart="5" format="9">
      <pivotArea type="data" outline="0" fieldPosition="0">
        <references count="2">
          <reference field="4294967294" count="1" selected="0">
            <x v="0"/>
          </reference>
          <reference field="2" count="1" selected="0">
            <x v="2"/>
          </reference>
        </references>
      </pivotArea>
    </chartFormat>
    <chartFormat chart="5" format="10">
      <pivotArea type="data" outline="0" fieldPosition="0">
        <references count="2">
          <reference field="4294967294" count="1" selected="0">
            <x v="0"/>
          </reference>
          <reference field="2" count="1" selected="0">
            <x v="3"/>
          </reference>
        </references>
      </pivotArea>
    </chartFormat>
    <chartFormat chart="2" format="1">
      <pivotArea type="data" outline="0" fieldPosition="0">
        <references count="2">
          <reference field="4294967294" count="1" selected="0">
            <x v="0"/>
          </reference>
          <reference field="2" count="1" selected="0">
            <x v="0"/>
          </reference>
        </references>
      </pivotArea>
    </chartFormat>
    <chartFormat chart="2" format="2">
      <pivotArea type="data" outline="0" fieldPosition="0">
        <references count="2">
          <reference field="4294967294" count="1" selected="0">
            <x v="0"/>
          </reference>
          <reference field="2" count="1" selected="0">
            <x v="1"/>
          </reference>
        </references>
      </pivotArea>
    </chartFormat>
    <chartFormat chart="2" format="3">
      <pivotArea type="data" outline="0" fieldPosition="0">
        <references count="2">
          <reference field="4294967294" count="1" selected="0">
            <x v="0"/>
          </reference>
          <reference field="2" count="1" selected="0">
            <x v="2"/>
          </reference>
        </references>
      </pivotArea>
    </chartFormat>
    <chartFormat chart="2" format="4">
      <pivotArea type="data" outline="0" fieldPosition="0">
        <references count="2">
          <reference field="4294967294" count="1" selected="0">
            <x v="0"/>
          </reference>
          <reference field="2" count="1" selected="0">
            <x v="3"/>
          </reference>
        </references>
      </pivotArea>
    </chartFormat>
    <chartFormat chart="11" format="16" series="1">
      <pivotArea type="data" outline="0" fieldPosition="0">
        <references count="1">
          <reference field="4294967294" count="1" selected="0">
            <x v="0"/>
          </reference>
        </references>
      </pivotArea>
    </chartFormat>
    <chartFormat chart="11" format="17">
      <pivotArea type="data" outline="0" fieldPosition="0">
        <references count="2">
          <reference field="4294967294" count="1" selected="0">
            <x v="0"/>
          </reference>
          <reference field="2" count="1" selected="0">
            <x v="0"/>
          </reference>
        </references>
      </pivotArea>
    </chartFormat>
    <chartFormat chart="11" format="18">
      <pivotArea type="data" outline="0" fieldPosition="0">
        <references count="2">
          <reference field="4294967294" count="1" selected="0">
            <x v="0"/>
          </reference>
          <reference field="2" count="1" selected="0">
            <x v="1"/>
          </reference>
        </references>
      </pivotArea>
    </chartFormat>
    <chartFormat chart="11" format="19">
      <pivotArea type="data" outline="0" fieldPosition="0">
        <references count="2">
          <reference field="4294967294" count="1" selected="0">
            <x v="0"/>
          </reference>
          <reference field="2" count="1" selected="0">
            <x v="2"/>
          </reference>
        </references>
      </pivotArea>
    </chartFormat>
    <chartFormat chart="11" format="20">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E9E86BF-2B70-446E-91B3-4402BFFEEDC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3">
  <location ref="A33:B46" firstHeaderRow="1" firstDataRow="1" firstDataCol="1"/>
  <pivotFields count="13">
    <pivotField showAll="0"/>
    <pivotField axis="axisRow" showAll="0">
      <items count="13">
        <item x="0"/>
        <item x="1"/>
        <item x="2"/>
        <item x="3"/>
        <item x="4"/>
        <item x="5"/>
        <item x="6"/>
        <item x="7"/>
        <item x="8"/>
        <item x="9"/>
        <item x="10"/>
        <item x="11"/>
        <item t="default"/>
      </items>
    </pivotField>
    <pivotField showAll="0">
      <items count="5">
        <item x="3"/>
        <item x="1"/>
        <item x="2"/>
        <item x="0"/>
        <item t="default"/>
      </items>
    </pivotField>
    <pivotField showAll="0"/>
    <pivotField showAll="0"/>
    <pivotField showAll="0"/>
    <pivotField showAll="0"/>
    <pivotField showAll="0"/>
    <pivotField showAll="0"/>
    <pivotField showAll="0"/>
    <pivotField dataField="1" showAll="0"/>
    <pivotField showAll="0"/>
    <pivotField showAll="0"/>
  </pivotFields>
  <rowFields count="1">
    <field x="1"/>
  </rowFields>
  <rowItems count="13">
    <i>
      <x/>
    </i>
    <i>
      <x v="1"/>
    </i>
    <i>
      <x v="2"/>
    </i>
    <i>
      <x v="3"/>
    </i>
    <i>
      <x v="4"/>
    </i>
    <i>
      <x v="5"/>
    </i>
    <i>
      <x v="6"/>
    </i>
    <i>
      <x v="7"/>
    </i>
    <i>
      <x v="8"/>
    </i>
    <i>
      <x v="9"/>
    </i>
    <i>
      <x v="10"/>
    </i>
    <i>
      <x v="11"/>
    </i>
    <i t="grand">
      <x/>
    </i>
  </rowItems>
  <colItems count="1">
    <i/>
  </colItems>
  <dataFields count="1">
    <dataField name="Sum of Total Rainfall (mm)" fld="10" baseField="0" baseItem="0"/>
  </dataFields>
  <chartFormats count="3">
    <chartFormat chart="3"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03DE889-E25D-4397-BDF3-C14F68DDAFDD}"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5:A56" firstHeaderRow="1" firstDataRow="1" firstDataCol="0"/>
  <pivotFields count="13">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Items count="1">
    <i/>
  </rowItems>
  <colItems count="1">
    <i/>
  </colItems>
  <dataFields count="1">
    <dataField name="Sum of Total Rainfall (mm)"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FAC6358-079A-4A10-91F8-ABD042B7554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5">
  <location ref="A2:B15" firstHeaderRow="1" firstDataRow="1" firstDataCol="1"/>
  <pivotFields count="13">
    <pivotField showAll="0">
      <items count="81">
        <item x="19"/>
        <item x="54"/>
        <item x="20"/>
        <item x="61"/>
        <item x="40"/>
        <item x="33"/>
        <item x="70"/>
        <item x="25"/>
        <item x="77"/>
        <item x="67"/>
        <item x="45"/>
        <item x="26"/>
        <item x="57"/>
        <item x="0"/>
        <item x="56"/>
        <item x="14"/>
        <item x="63"/>
        <item x="8"/>
        <item x="31"/>
        <item x="17"/>
        <item x="29"/>
        <item x="68"/>
        <item x="5"/>
        <item x="41"/>
        <item x="49"/>
        <item x="21"/>
        <item x="59"/>
        <item x="69"/>
        <item x="3"/>
        <item x="1"/>
        <item x="37"/>
        <item x="24"/>
        <item x="75"/>
        <item x="66"/>
        <item x="34"/>
        <item x="39"/>
        <item x="43"/>
        <item x="6"/>
        <item x="10"/>
        <item x="15"/>
        <item x="13"/>
        <item x="16"/>
        <item x="53"/>
        <item x="42"/>
        <item x="23"/>
        <item x="76"/>
        <item x="73"/>
        <item x="55"/>
        <item x="38"/>
        <item x="79"/>
        <item x="4"/>
        <item x="46"/>
        <item x="65"/>
        <item x="2"/>
        <item x="71"/>
        <item x="32"/>
        <item x="44"/>
        <item x="35"/>
        <item x="50"/>
        <item x="62"/>
        <item x="52"/>
        <item x="78"/>
        <item x="72"/>
        <item x="51"/>
        <item x="36"/>
        <item x="74"/>
        <item x="28"/>
        <item x="27"/>
        <item x="11"/>
        <item x="18"/>
        <item x="60"/>
        <item x="9"/>
        <item x="7"/>
        <item x="64"/>
        <item x="58"/>
        <item x="30"/>
        <item x="22"/>
        <item x="47"/>
        <item x="12"/>
        <item x="48"/>
        <item t="default"/>
      </items>
    </pivotField>
    <pivotField axis="axisRow" showAll="0">
      <items count="13">
        <item x="0"/>
        <item x="1"/>
        <item x="2"/>
        <item x="3"/>
        <item x="4"/>
        <item x="5"/>
        <item x="6"/>
        <item x="7"/>
        <item x="8"/>
        <item x="9"/>
        <item x="10"/>
        <item x="11"/>
        <item t="default"/>
      </items>
    </pivotField>
    <pivotField showAll="0"/>
    <pivotField showAll="0"/>
    <pivotField dataField="1" showAll="0"/>
    <pivotField showAll="0"/>
    <pivotField showAll="0"/>
    <pivotField showAll="0"/>
    <pivotField showAll="0"/>
    <pivotField showAll="0"/>
    <pivotField showAll="0"/>
    <pivotField showAll="0"/>
    <pivotField showAll="0"/>
  </pivotFields>
  <rowFields count="1">
    <field x="1"/>
  </rowFields>
  <rowItems count="13">
    <i>
      <x/>
    </i>
    <i>
      <x v="1"/>
    </i>
    <i>
      <x v="2"/>
    </i>
    <i>
      <x v="3"/>
    </i>
    <i>
      <x v="4"/>
    </i>
    <i>
      <x v="5"/>
    </i>
    <i>
      <x v="6"/>
    </i>
    <i>
      <x v="7"/>
    </i>
    <i>
      <x v="8"/>
    </i>
    <i>
      <x v="9"/>
    </i>
    <i>
      <x v="10"/>
    </i>
    <i>
      <x v="11"/>
    </i>
    <i t="grand">
      <x/>
    </i>
  </rowItems>
  <colItems count="1">
    <i/>
  </colItems>
  <dataFields count="1">
    <dataField name="Sum of Avg Temp (°C)" fld="4" baseField="0" baseItem="0"/>
  </dataFields>
  <chartFormats count="3">
    <chartFormat chart="4"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24EFD1B-B4E1-4A87-BD22-3AEEEB2C793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M15:N54" firstHeaderRow="1" firstDataRow="1" firstDataCol="1"/>
  <pivotFields count="13">
    <pivotField showAll="0"/>
    <pivotField showAll="0">
      <items count="13">
        <item x="0"/>
        <item x="1"/>
        <item x="2"/>
        <item x="3"/>
        <item x="4"/>
        <item x="5"/>
        <item x="6"/>
        <item x="7"/>
        <item x="8"/>
        <item x="9"/>
        <item x="10"/>
        <item x="11"/>
        <item t="default"/>
      </items>
    </pivotField>
    <pivotField showAll="0"/>
    <pivotField showAll="0"/>
    <pivotField dataField="1" showAll="0"/>
    <pivotField showAll="0"/>
    <pivotField showAll="0"/>
    <pivotField showAll="0"/>
    <pivotField axis="axisRow" showAll="0">
      <items count="39">
        <item x="22"/>
        <item x="37"/>
        <item x="13"/>
        <item x="32"/>
        <item x="25"/>
        <item x="1"/>
        <item x="28"/>
        <item x="27"/>
        <item x="36"/>
        <item x="21"/>
        <item x="10"/>
        <item x="3"/>
        <item x="35"/>
        <item x="29"/>
        <item x="14"/>
        <item x="34"/>
        <item x="9"/>
        <item x="30"/>
        <item x="20"/>
        <item x="24"/>
        <item x="11"/>
        <item x="4"/>
        <item x="33"/>
        <item x="15"/>
        <item x="8"/>
        <item x="19"/>
        <item x="12"/>
        <item x="2"/>
        <item x="31"/>
        <item x="5"/>
        <item x="0"/>
        <item x="16"/>
        <item x="26"/>
        <item x="7"/>
        <item x="23"/>
        <item x="17"/>
        <item x="6"/>
        <item x="18"/>
        <item t="default"/>
      </items>
    </pivotField>
    <pivotField showAll="0"/>
    <pivotField showAll="0"/>
    <pivotField showAll="0"/>
    <pivotField showAll="0"/>
  </pivotFields>
  <rowFields count="1">
    <field x="8"/>
  </rowFields>
  <rowItems count="3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t="grand">
      <x/>
    </i>
  </rowItems>
  <colItems count="1">
    <i/>
  </colItems>
  <dataFields count="1">
    <dataField name="Sum of Avg Temp (°C)" fld="4"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F7478C7-23F7-4524-965A-CB8530FB9B3C}"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9:A50" firstHeaderRow="1" firstDataRow="1" firstDataCol="0"/>
  <pivotFields count="13">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Items count="1">
    <i/>
  </rowItems>
  <colItems count="1">
    <i/>
  </colItems>
  <dataFields count="1">
    <dataField name="Average of Avg Temp (°C)" fld="4"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E4E4542-55B9-49BA-BDCF-A439B5B4B0F6}"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8:A59" firstHeaderRow="1" firstDataRow="1" firstDataCol="0"/>
  <pivotFields count="13">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Average of Wind Speed (km/h)" fld="9"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AE485E5B-48D6-41B6-8EA7-177DC1EFE19B}" sourceName="State">
  <pivotTables>
    <pivotTable tabId="5" name="PivotTable2"/>
  </pivotTables>
  <data>
    <tabular pivotCacheId="180220372">
      <items count="11">
        <i x="2" s="1"/>
        <i x="9" s="1"/>
        <i x="10" s="1"/>
        <i x="0" s="1"/>
        <i x="3" s="1"/>
        <i x="6" s="1"/>
        <i x="8" s="1"/>
        <i x="1" s="1"/>
        <i x="5" s="1"/>
        <i x="7"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C54F23DA-6743-47AA-81C7-8A33F6675F6F}" sourceName="Season">
  <pivotTables>
    <pivotTable tabId="5" name="PivotTable3"/>
  </pivotTables>
  <data>
    <tabular pivotCacheId="180220372">
      <items count="4">
        <i x="3" s="1"/>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7F6EE954-62A5-4EF7-9246-88DBE1879B8B}" sourceName="Month">
  <pivotTables>
    <pivotTable tabId="5" name="PivotTable6"/>
    <pivotTable tabId="5" name="PivotTable4"/>
    <pivotTable tabId="5" name="PivotTable1"/>
  </pivotTables>
  <data>
    <tabular pivotCacheId="180220372">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1" xr10:uid="{84650F03-B863-45F1-A5B6-8B8A4E35361C}" cache="Slicer_State" caption="State" columnCount="4" rowHeight="234950"/>
  <slicer name="Season 1" xr10:uid="{8457BCB4-2EAC-444F-8D11-9CEF1BE8732A}" cache="Slicer_Season" caption="Season" rowHeight="234950"/>
  <slicer name="Month 1" xr10:uid="{6AD0B6EF-ADB0-4136-A963-6C8728B9953F}" cache="Slicer_Month1" caption="Month" columnCount="1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2D8C1B1A-27E9-4FCE-9BAA-D4A6CF878BE4}" cache="Slicer_State" caption="State" columnCount="2" rowHeight="234950"/>
  <slicer name="Season" xr10:uid="{DBE3D7A0-DDF1-4DCC-B8EC-DAC8F10DBC5F}" cache="Slicer_Season" caption="Season" rowHeight="234950"/>
  <slicer name="Month 3" xr10:uid="{AC1E1CD4-BBCC-47CB-BC27-CBC1FBF3E76B}" cache="Slicer_Month1" caption="Month" rowHeight="234950"/>
  <slicer name="Month 2" xr10:uid="{21E5D00F-518E-4384-97AC-37F01EE2141F}" cache="Slicer_Month1" caption="Month" columnCount="2" rowHeight="234950"/>
  <slicer name="Month" xr10:uid="{B23D33D3-56FA-484B-8F04-665BE47841A7}" cache="Slicer_Month1" caption="Month" columnCount="2"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2" xr10:uid="{D5ABC02B-3119-4FD3-BC60-513303A42A0E}" cache="Slicer_State" caption="State" columnCount="4" rowHeight="234950"/>
  <slicer name="Season 2" xr10:uid="{708381D4-4584-4906-A97F-436C9E43EA3E}" cache="Slicer_Season" caption="Season" rowHeight="234950"/>
  <slicer name="Month 4" xr10:uid="{8AF1F3F6-5693-448C-AE6A-86BCFDB7B3A9}" cache="Slicer_Month1" caption="Month" columnCount="12"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3" xr10:uid="{78B6E96A-920D-489E-8F9B-1637E3C814D3}" cache="Slicer_State" caption="State" columnCount="4" rowHeight="234950"/>
  <slicer name="Season 3" xr10:uid="{5C1278D6-8653-48D5-BE6F-CBCC8B4847CD}" cache="Slicer_Season" caption="Season" startItem="1" rowHeight="234950"/>
  <slicer name="Month 5" xr10:uid="{D8A8C43F-52AB-4BD9-B08B-E6AC485D5097}" cache="Slicer_Month1" caption="Month" columnCount="12"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4" xr10:uid="{54AC2E99-D31B-4850-8980-FE5AEF6437F5}" cache="Slicer_State" caption="State" columnCount="4" rowHeight="234950"/>
  <slicer name="Season 4" xr10:uid="{2D6D5E33-395A-43F0-A249-790247C06E43}" cache="Slicer_Season" caption="Season" rowHeight="234950"/>
  <slicer name="Month 6" xr10:uid="{52701C2C-268A-4755-B40B-0B4E2346F7E8}" cache="Slicer_Month1" caption="Month" columnCount="12" rowHeight="2349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5" xr10:uid="{030221EE-DD24-4CD9-A45E-EA5B51B684FA}" cache="Slicer_State" caption="State" columnCount="4" rowHeight="234950"/>
  <slicer name="Season 5" xr10:uid="{7E3E12EF-54C2-4C0D-94AA-DE9A2A35F03B}" cache="Slicer_Season" caption="Season" rowHeight="234950"/>
  <slicer name="Month 7" xr10:uid="{AA217DAE-31F1-4994-BABC-60BAF52CF79D}" cache="Slicer_Month1" caption="Month" columnCount="1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51AE664-6649-4CD0-B50E-7C1B53E063FD}" name="Table1" displayName="Table1" ref="A1:M81" totalsRowShown="0" headerRowDxfId="18" dataDxfId="16" headerRowBorderDxfId="17" tableBorderDxfId="15" totalsRowBorderDxfId="14">
  <autoFilter ref="A1:M81" xr:uid="{151AE664-6649-4CD0-B50E-7C1B53E063FD}"/>
  <tableColumns count="13">
    <tableColumn id="1" xr3:uid="{B482C38F-4645-4456-94C2-2D710A348C4C}" name="Date" dataDxfId="13"/>
    <tableColumn id="2" xr3:uid="{028F891E-5ED0-4984-A31E-06F86E011A07}" name="Month" dataDxfId="12"/>
    <tableColumn id="3" xr3:uid="{27200AEB-B9C4-47BE-BABA-4693A5834362}" name="Season"/>
    <tableColumn id="4" xr3:uid="{88BABE49-6F06-4351-9D70-80C92ADDFB21}" name="State" dataDxfId="11"/>
    <tableColumn id="5" xr3:uid="{A023B471-CF5E-40B6-B1A0-411D68079328}" name="Avg Temp (°C)"/>
    <tableColumn id="6" xr3:uid="{E9B75029-2842-431B-8DDB-7481299ED309}" name="Max Temp (°C)"/>
    <tableColumn id="7" xr3:uid="{517E86A2-1E86-4074-BB9C-DD745426D70B}" name="Min Temp (°C)"/>
    <tableColumn id="8" xr3:uid="{F3A88737-F638-4719-A40C-8E7DDF43FCE2}" name="Rainfall (mm)" dataDxfId="10"/>
    <tableColumn id="9" xr3:uid="{FD3CC004-2F6F-47E9-A724-B64C2B62FB3F}" name="Humidity (%)" dataDxfId="9"/>
    <tableColumn id="10" xr3:uid="{E1436BD0-398A-47B3-A568-AB75DFD506B9}" name="Wind Speed (km/h)" dataDxfId="8"/>
    <tableColumn id="11" xr3:uid="{95512969-6A8E-48EB-9D88-6537710E5B7E}" name="Total Rainfall (mm)" dataDxfId="7"/>
    <tableColumn id="12" xr3:uid="{77849687-ED3D-40D4-A31C-7E01FDD58F65}" name="Avg Rainfall (mm)" dataDxfId="6"/>
    <tableColumn id="13" xr3:uid="{227421E4-0A33-4227-B323-48725B19F5FF}" name="Rainy Days" dataDxfId="5"/>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10159EF-E470-4976-8A36-A6CDAC19DB88}" name="Table2" displayName="Table2" ref="R33:S113" totalsRowShown="0" headerRowDxfId="4" headerRowBorderDxfId="3" tableBorderDxfId="2" totalsRowBorderDxfId="1">
  <autoFilter ref="R33:S113" xr:uid="{310159EF-E470-4976-8A36-A6CDAC19DB88}"/>
  <tableColumns count="2">
    <tableColumn id="1" xr3:uid="{86D2CD1C-4FE9-4989-A74F-4C82CF09D9FC}" name="State" dataDxfId="0"/>
    <tableColumn id="2" xr3:uid="{277EFB98-927B-4411-90F5-7030F6AD1A28}" name="Avg Temp (°C)"/>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table" Target="../tables/table2.xml"/><Relationship Id="rId5" Type="http://schemas.openxmlformats.org/officeDocument/2006/relationships/pivotTable" Target="../pivotTables/pivotTable5.xml"/><Relationship Id="rId10" Type="http://schemas.openxmlformats.org/officeDocument/2006/relationships/drawing" Target="../drawings/drawing2.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microsoft.com/office/2007/relationships/slicer" Target="../slicers/slicer6.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81"/>
  <sheetViews>
    <sheetView workbookViewId="0">
      <pane ySplit="1" topLeftCell="A2" activePane="bottomLeft" state="frozen"/>
      <selection pane="bottomLeft" activeCell="A4" sqref="A4"/>
    </sheetView>
  </sheetViews>
  <sheetFormatPr defaultRowHeight="14.4" x14ac:dyDescent="0.3"/>
  <cols>
    <col min="1" max="1" width="14" customWidth="1"/>
    <col min="2" max="2" width="12" customWidth="1"/>
    <col min="3" max="3" width="11" customWidth="1"/>
    <col min="4" max="4" width="18" customWidth="1"/>
    <col min="5" max="5" width="14.88671875" customWidth="1"/>
    <col min="6" max="6" width="15.33203125" customWidth="1"/>
    <col min="7" max="7" width="15" customWidth="1"/>
    <col min="8" max="8" width="14.21875" customWidth="1"/>
    <col min="9" max="9" width="13.77734375" customWidth="1"/>
    <col min="10" max="10" width="19.44140625" customWidth="1"/>
    <col min="11" max="11" width="18.88671875" customWidth="1"/>
    <col min="12" max="12" width="17.88671875" customWidth="1"/>
    <col min="13" max="13" width="12" customWidth="1"/>
    <col min="19" max="19" width="19.44140625" customWidth="1"/>
  </cols>
  <sheetData>
    <row r="1" spans="1:13" ht="30" customHeight="1" x14ac:dyDescent="0.3">
      <c r="A1" s="17" t="s">
        <v>0</v>
      </c>
      <c r="B1" s="18" t="s">
        <v>1</v>
      </c>
      <c r="C1" s="18" t="s">
        <v>2</v>
      </c>
      <c r="D1" s="18" t="s">
        <v>3</v>
      </c>
      <c r="E1" s="18" t="s">
        <v>4</v>
      </c>
      <c r="F1" s="18" t="s">
        <v>5</v>
      </c>
      <c r="G1" s="18" t="s">
        <v>6</v>
      </c>
      <c r="H1" s="18" t="s">
        <v>7</v>
      </c>
      <c r="I1" s="18" t="s">
        <v>8</v>
      </c>
      <c r="J1" s="18" t="s">
        <v>9</v>
      </c>
      <c r="K1" s="18" t="s">
        <v>10</v>
      </c>
      <c r="L1" s="18" t="s">
        <v>11</v>
      </c>
      <c r="M1" s="19" t="s">
        <v>12</v>
      </c>
    </row>
    <row r="2" spans="1:13" ht="18" customHeight="1" x14ac:dyDescent="0.3">
      <c r="A2" s="13" t="s">
        <v>13</v>
      </c>
      <c r="B2" s="1" t="s">
        <v>14</v>
      </c>
      <c r="C2" s="2" t="s">
        <v>15</v>
      </c>
      <c r="D2" s="1" t="s">
        <v>16</v>
      </c>
      <c r="E2" s="3">
        <v>24</v>
      </c>
      <c r="F2" s="3">
        <v>28</v>
      </c>
      <c r="G2" s="3">
        <v>20</v>
      </c>
      <c r="H2" s="1">
        <v>52</v>
      </c>
      <c r="I2" s="1">
        <v>82</v>
      </c>
      <c r="J2" s="1">
        <v>18</v>
      </c>
      <c r="K2" s="1">
        <v>530</v>
      </c>
      <c r="L2" s="1">
        <v>132.5</v>
      </c>
      <c r="M2" s="15">
        <v>6</v>
      </c>
    </row>
    <row r="3" spans="1:13" ht="18" customHeight="1" x14ac:dyDescent="0.3">
      <c r="A3" s="14" t="s">
        <v>17</v>
      </c>
      <c r="B3" s="4" t="s">
        <v>18</v>
      </c>
      <c r="C3" s="2" t="s">
        <v>15</v>
      </c>
      <c r="D3" s="4" t="s">
        <v>19</v>
      </c>
      <c r="E3" s="5">
        <v>18</v>
      </c>
      <c r="F3" s="6">
        <v>24</v>
      </c>
      <c r="G3" s="5">
        <v>12</v>
      </c>
      <c r="H3" s="4">
        <v>4</v>
      </c>
      <c r="I3" s="4">
        <v>45</v>
      </c>
      <c r="J3" s="4">
        <v>22</v>
      </c>
      <c r="K3" s="4">
        <v>27</v>
      </c>
      <c r="L3" s="4">
        <v>6.8</v>
      </c>
      <c r="M3" s="16">
        <v>0</v>
      </c>
    </row>
    <row r="4" spans="1:13" ht="18" customHeight="1" x14ac:dyDescent="0.3">
      <c r="A4" s="13" t="s">
        <v>20</v>
      </c>
      <c r="B4" s="1" t="s">
        <v>21</v>
      </c>
      <c r="C4" s="7" t="s">
        <v>22</v>
      </c>
      <c r="D4" s="1" t="s">
        <v>23</v>
      </c>
      <c r="E4" s="3">
        <v>22</v>
      </c>
      <c r="F4" s="3">
        <v>27</v>
      </c>
      <c r="G4" s="8">
        <v>17</v>
      </c>
      <c r="H4" s="1">
        <v>62</v>
      </c>
      <c r="I4" s="1">
        <v>78</v>
      </c>
      <c r="J4" s="1">
        <v>16</v>
      </c>
      <c r="K4" s="1">
        <v>495</v>
      </c>
      <c r="L4" s="1">
        <v>123.8</v>
      </c>
      <c r="M4" s="15">
        <v>4</v>
      </c>
    </row>
    <row r="5" spans="1:13" ht="18" customHeight="1" x14ac:dyDescent="0.3">
      <c r="A5" s="14" t="s">
        <v>24</v>
      </c>
      <c r="B5" s="4" t="s">
        <v>25</v>
      </c>
      <c r="C5" s="7" t="s">
        <v>22</v>
      </c>
      <c r="D5" s="4" t="s">
        <v>26</v>
      </c>
      <c r="E5" s="9">
        <v>32</v>
      </c>
      <c r="F5" s="9">
        <v>37</v>
      </c>
      <c r="G5" s="6">
        <v>27</v>
      </c>
      <c r="H5" s="4">
        <v>18</v>
      </c>
      <c r="I5" s="4">
        <v>55</v>
      </c>
      <c r="J5" s="4">
        <v>14</v>
      </c>
      <c r="K5" s="4">
        <v>239</v>
      </c>
      <c r="L5" s="4">
        <v>47.8</v>
      </c>
      <c r="M5" s="16">
        <v>2</v>
      </c>
    </row>
    <row r="6" spans="1:13" ht="18" customHeight="1" x14ac:dyDescent="0.3">
      <c r="A6" s="13" t="s">
        <v>27</v>
      </c>
      <c r="B6" s="1" t="s">
        <v>28</v>
      </c>
      <c r="C6" s="7" t="s">
        <v>22</v>
      </c>
      <c r="D6" s="1" t="s">
        <v>29</v>
      </c>
      <c r="E6" s="10">
        <v>30</v>
      </c>
      <c r="F6" s="10">
        <v>35</v>
      </c>
      <c r="G6" s="3">
        <v>25</v>
      </c>
      <c r="H6" s="1">
        <v>35</v>
      </c>
      <c r="I6" s="1">
        <v>68</v>
      </c>
      <c r="J6" s="1">
        <v>15</v>
      </c>
      <c r="K6" s="1">
        <v>319</v>
      </c>
      <c r="L6" s="1">
        <v>79.8</v>
      </c>
      <c r="M6" s="15">
        <v>2</v>
      </c>
    </row>
    <row r="7" spans="1:13" ht="18" customHeight="1" x14ac:dyDescent="0.3">
      <c r="A7" s="14" t="s">
        <v>30</v>
      </c>
      <c r="B7" s="4" t="s">
        <v>31</v>
      </c>
      <c r="C7" s="11" t="s">
        <v>32</v>
      </c>
      <c r="D7" s="4" t="s">
        <v>33</v>
      </c>
      <c r="E7" s="9">
        <v>34</v>
      </c>
      <c r="F7" s="9">
        <v>39</v>
      </c>
      <c r="G7" s="6">
        <v>29</v>
      </c>
      <c r="H7" s="4">
        <v>88</v>
      </c>
      <c r="I7" s="4">
        <v>80</v>
      </c>
      <c r="J7" s="4">
        <v>20</v>
      </c>
      <c r="K7" s="4">
        <v>298</v>
      </c>
      <c r="L7" s="4">
        <v>59.6</v>
      </c>
      <c r="M7" s="16">
        <v>2</v>
      </c>
    </row>
    <row r="8" spans="1:13" ht="18" customHeight="1" x14ac:dyDescent="0.3">
      <c r="A8" s="13" t="s">
        <v>34</v>
      </c>
      <c r="B8" s="1" t="s">
        <v>35</v>
      </c>
      <c r="C8" s="11" t="s">
        <v>32</v>
      </c>
      <c r="D8" s="1" t="s">
        <v>16</v>
      </c>
      <c r="E8" s="3">
        <v>28</v>
      </c>
      <c r="F8" s="10">
        <v>32</v>
      </c>
      <c r="G8" s="3">
        <v>24</v>
      </c>
      <c r="H8" s="1">
        <v>145</v>
      </c>
      <c r="I8" s="1">
        <v>90</v>
      </c>
      <c r="J8" s="1">
        <v>22</v>
      </c>
      <c r="K8" s="1">
        <v>530</v>
      </c>
      <c r="L8" s="1">
        <v>132.5</v>
      </c>
      <c r="M8" s="15">
        <v>6</v>
      </c>
    </row>
    <row r="9" spans="1:13" ht="18" customHeight="1" x14ac:dyDescent="0.3">
      <c r="A9" s="14" t="s">
        <v>36</v>
      </c>
      <c r="B9" s="4" t="s">
        <v>37</v>
      </c>
      <c r="C9" s="11" t="s">
        <v>32</v>
      </c>
      <c r="D9" s="4" t="s">
        <v>38</v>
      </c>
      <c r="E9" s="9">
        <v>31</v>
      </c>
      <c r="F9" s="9">
        <v>36</v>
      </c>
      <c r="G9" s="6">
        <v>26</v>
      </c>
      <c r="H9" s="4">
        <v>112</v>
      </c>
      <c r="I9" s="4">
        <v>85</v>
      </c>
      <c r="J9" s="4">
        <v>25</v>
      </c>
      <c r="K9" s="4">
        <v>318</v>
      </c>
      <c r="L9" s="4">
        <v>79.5</v>
      </c>
      <c r="M9" s="16">
        <v>2</v>
      </c>
    </row>
    <row r="10" spans="1:13" ht="18" customHeight="1" x14ac:dyDescent="0.3">
      <c r="A10" s="13" t="s">
        <v>39</v>
      </c>
      <c r="B10" s="1" t="s">
        <v>40</v>
      </c>
      <c r="C10" s="12" t="s">
        <v>41</v>
      </c>
      <c r="D10" s="1" t="s">
        <v>42</v>
      </c>
      <c r="E10" s="3">
        <v>29</v>
      </c>
      <c r="F10" s="10">
        <v>34</v>
      </c>
      <c r="G10" s="3">
        <v>24</v>
      </c>
      <c r="H10" s="1">
        <v>58</v>
      </c>
      <c r="I10" s="1">
        <v>72</v>
      </c>
      <c r="J10" s="1">
        <v>18</v>
      </c>
      <c r="K10" s="1">
        <v>102</v>
      </c>
      <c r="L10" s="1">
        <v>34</v>
      </c>
      <c r="M10" s="15">
        <v>1</v>
      </c>
    </row>
    <row r="11" spans="1:13" ht="18" customHeight="1" x14ac:dyDescent="0.3">
      <c r="A11" s="14" t="s">
        <v>43</v>
      </c>
      <c r="B11" s="28" t="s">
        <v>44</v>
      </c>
      <c r="C11" s="12" t="s">
        <v>41</v>
      </c>
      <c r="D11" s="4" t="s">
        <v>45</v>
      </c>
      <c r="E11" s="6">
        <v>22</v>
      </c>
      <c r="F11" s="6">
        <v>27</v>
      </c>
      <c r="G11" s="5">
        <v>17</v>
      </c>
      <c r="H11" s="4">
        <v>28</v>
      </c>
      <c r="I11" s="4">
        <v>60</v>
      </c>
      <c r="J11" s="4">
        <v>20</v>
      </c>
      <c r="K11" s="4">
        <v>61</v>
      </c>
      <c r="L11" s="4">
        <v>20.3</v>
      </c>
      <c r="M11" s="16">
        <v>0</v>
      </c>
    </row>
    <row r="12" spans="1:13" ht="18" customHeight="1" x14ac:dyDescent="0.3">
      <c r="A12" s="13" t="s">
        <v>46</v>
      </c>
      <c r="B12" s="1" t="s">
        <v>47</v>
      </c>
      <c r="C12" s="12" t="s">
        <v>41</v>
      </c>
      <c r="D12" s="1" t="s">
        <v>48</v>
      </c>
      <c r="E12" s="3">
        <v>26</v>
      </c>
      <c r="F12" s="10">
        <v>31</v>
      </c>
      <c r="G12" s="3">
        <v>21</v>
      </c>
      <c r="H12" s="1">
        <v>15</v>
      </c>
      <c r="I12" s="1">
        <v>52</v>
      </c>
      <c r="J12" s="1">
        <v>16</v>
      </c>
      <c r="K12" s="1">
        <v>53</v>
      </c>
      <c r="L12" s="1">
        <v>13.2</v>
      </c>
      <c r="M12" s="15">
        <v>0</v>
      </c>
    </row>
    <row r="13" spans="1:13" ht="18" customHeight="1" x14ac:dyDescent="0.3">
      <c r="A13" s="14" t="s">
        <v>49</v>
      </c>
      <c r="B13" s="4" t="s">
        <v>50</v>
      </c>
      <c r="C13" s="2" t="s">
        <v>15</v>
      </c>
      <c r="D13" s="4" t="s">
        <v>51</v>
      </c>
      <c r="E13" s="6">
        <v>20</v>
      </c>
      <c r="F13" s="6">
        <v>25</v>
      </c>
      <c r="G13" s="5">
        <v>15</v>
      </c>
      <c r="H13" s="4">
        <v>38</v>
      </c>
      <c r="I13" s="4">
        <v>65</v>
      </c>
      <c r="J13" s="4">
        <v>14</v>
      </c>
      <c r="K13" s="4">
        <v>204</v>
      </c>
      <c r="L13" s="4">
        <v>51</v>
      </c>
      <c r="M13" s="16">
        <v>2</v>
      </c>
    </row>
    <row r="14" spans="1:13" ht="18" customHeight="1" x14ac:dyDescent="0.3">
      <c r="A14" s="13" t="s">
        <v>52</v>
      </c>
      <c r="B14" s="1" t="s">
        <v>14</v>
      </c>
      <c r="C14" s="2" t="s">
        <v>15</v>
      </c>
      <c r="D14" s="1" t="s">
        <v>23</v>
      </c>
      <c r="E14" s="3">
        <v>21</v>
      </c>
      <c r="F14" s="3">
        <v>26</v>
      </c>
      <c r="G14" s="8">
        <v>16</v>
      </c>
      <c r="H14" s="1">
        <v>28</v>
      </c>
      <c r="I14" s="1">
        <v>76</v>
      </c>
      <c r="J14" s="1">
        <v>17</v>
      </c>
      <c r="K14" s="1">
        <v>495</v>
      </c>
      <c r="L14" s="1">
        <v>123.8</v>
      </c>
      <c r="M14" s="15">
        <v>4</v>
      </c>
    </row>
    <row r="15" spans="1:13" ht="18" customHeight="1" x14ac:dyDescent="0.3">
      <c r="A15" s="14" t="s">
        <v>53</v>
      </c>
      <c r="B15" s="4" t="s">
        <v>18</v>
      </c>
      <c r="C15" s="2" t="s">
        <v>15</v>
      </c>
      <c r="D15" s="4" t="s">
        <v>16</v>
      </c>
      <c r="E15" s="6">
        <v>26</v>
      </c>
      <c r="F15" s="9">
        <v>30</v>
      </c>
      <c r="G15" s="6">
        <v>22</v>
      </c>
      <c r="H15" s="4">
        <v>48</v>
      </c>
      <c r="I15" s="4">
        <v>80</v>
      </c>
      <c r="J15" s="4">
        <v>19</v>
      </c>
      <c r="K15" s="4">
        <v>530</v>
      </c>
      <c r="L15" s="4">
        <v>132.5</v>
      </c>
      <c r="M15" s="16">
        <v>6</v>
      </c>
    </row>
    <row r="16" spans="1:13" ht="18" customHeight="1" x14ac:dyDescent="0.3">
      <c r="A16" s="13" t="s">
        <v>54</v>
      </c>
      <c r="B16" s="1" t="s">
        <v>21</v>
      </c>
      <c r="C16" s="7" t="s">
        <v>22</v>
      </c>
      <c r="D16" s="1" t="s">
        <v>19</v>
      </c>
      <c r="E16" s="3">
        <v>24</v>
      </c>
      <c r="F16" s="10">
        <v>30</v>
      </c>
      <c r="G16" s="8">
        <v>18</v>
      </c>
      <c r="H16" s="1">
        <v>6</v>
      </c>
      <c r="I16" s="1">
        <v>42</v>
      </c>
      <c r="J16" s="1">
        <v>24</v>
      </c>
      <c r="K16" s="1">
        <v>27</v>
      </c>
      <c r="L16" s="1">
        <v>6.8</v>
      </c>
      <c r="M16" s="15">
        <v>0</v>
      </c>
    </row>
    <row r="17" spans="1:13" ht="18" customHeight="1" x14ac:dyDescent="0.3">
      <c r="A17" s="14" t="s">
        <v>55</v>
      </c>
      <c r="B17" s="4" t="s">
        <v>25</v>
      </c>
      <c r="C17" s="7" t="s">
        <v>22</v>
      </c>
      <c r="D17" s="4" t="s">
        <v>33</v>
      </c>
      <c r="E17" s="9">
        <v>33</v>
      </c>
      <c r="F17" s="9">
        <v>38</v>
      </c>
      <c r="G17" s="6">
        <v>28</v>
      </c>
      <c r="H17" s="4">
        <v>22</v>
      </c>
      <c r="I17" s="4">
        <v>58</v>
      </c>
      <c r="J17" s="4">
        <v>13</v>
      </c>
      <c r="K17" s="4">
        <v>298</v>
      </c>
      <c r="L17" s="4">
        <v>59.6</v>
      </c>
      <c r="M17" s="16">
        <v>2</v>
      </c>
    </row>
    <row r="18" spans="1:13" ht="18" customHeight="1" x14ac:dyDescent="0.3">
      <c r="A18" s="13" t="s">
        <v>56</v>
      </c>
      <c r="B18" s="1" t="s">
        <v>28</v>
      </c>
      <c r="C18" s="7" t="s">
        <v>22</v>
      </c>
      <c r="D18" s="1" t="s">
        <v>38</v>
      </c>
      <c r="E18" s="10">
        <v>32</v>
      </c>
      <c r="F18" s="10">
        <v>37</v>
      </c>
      <c r="G18" s="3">
        <v>27</v>
      </c>
      <c r="H18" s="1">
        <v>42</v>
      </c>
      <c r="I18" s="1">
        <v>70</v>
      </c>
      <c r="J18" s="1">
        <v>16</v>
      </c>
      <c r="K18" s="1">
        <v>318</v>
      </c>
      <c r="L18" s="1">
        <v>79.5</v>
      </c>
      <c r="M18" s="15">
        <v>2</v>
      </c>
    </row>
    <row r="19" spans="1:13" ht="18" customHeight="1" x14ac:dyDescent="0.3">
      <c r="A19" s="14" t="s">
        <v>57</v>
      </c>
      <c r="B19" s="4" t="s">
        <v>31</v>
      </c>
      <c r="C19" s="11" t="s">
        <v>32</v>
      </c>
      <c r="D19" s="4" t="s">
        <v>29</v>
      </c>
      <c r="E19" s="9">
        <v>30</v>
      </c>
      <c r="F19" s="9">
        <v>35</v>
      </c>
      <c r="G19" s="6">
        <v>25</v>
      </c>
      <c r="H19" s="4">
        <v>95</v>
      </c>
      <c r="I19" s="4">
        <v>83</v>
      </c>
      <c r="J19" s="4">
        <v>21</v>
      </c>
      <c r="K19" s="4">
        <v>319</v>
      </c>
      <c r="L19" s="4">
        <v>79.8</v>
      </c>
      <c r="M19" s="16">
        <v>2</v>
      </c>
    </row>
    <row r="20" spans="1:13" ht="18" customHeight="1" x14ac:dyDescent="0.3">
      <c r="A20" s="13" t="s">
        <v>58</v>
      </c>
      <c r="B20" s="1" t="s">
        <v>35</v>
      </c>
      <c r="C20" s="11" t="s">
        <v>32</v>
      </c>
      <c r="D20" s="1" t="s">
        <v>26</v>
      </c>
      <c r="E20" s="3">
        <v>27</v>
      </c>
      <c r="F20" s="10">
        <v>32</v>
      </c>
      <c r="G20" s="3">
        <v>22</v>
      </c>
      <c r="H20" s="1">
        <v>128</v>
      </c>
      <c r="I20" s="1">
        <v>88</v>
      </c>
      <c r="J20" s="1">
        <v>23</v>
      </c>
      <c r="K20" s="1">
        <v>239</v>
      </c>
      <c r="L20" s="1">
        <v>47.8</v>
      </c>
      <c r="M20" s="15">
        <v>2</v>
      </c>
    </row>
    <row r="21" spans="1:13" ht="18" customHeight="1" x14ac:dyDescent="0.3">
      <c r="A21" s="14" t="s">
        <v>59</v>
      </c>
      <c r="B21" s="4" t="s">
        <v>37</v>
      </c>
      <c r="C21" s="11" t="s">
        <v>32</v>
      </c>
      <c r="D21" s="4" t="s">
        <v>23</v>
      </c>
      <c r="E21" s="6">
        <v>29</v>
      </c>
      <c r="F21" s="9">
        <v>34</v>
      </c>
      <c r="G21" s="6">
        <v>24</v>
      </c>
      <c r="H21" s="4">
        <v>162</v>
      </c>
      <c r="I21" s="4">
        <v>92</v>
      </c>
      <c r="J21" s="4">
        <v>26</v>
      </c>
      <c r="K21" s="4">
        <v>495</v>
      </c>
      <c r="L21" s="4">
        <v>123.8</v>
      </c>
      <c r="M21" s="16">
        <v>4</v>
      </c>
    </row>
    <row r="22" spans="1:13" ht="18" customHeight="1" x14ac:dyDescent="0.3">
      <c r="A22" s="13" t="s">
        <v>60</v>
      </c>
      <c r="B22" s="1" t="s">
        <v>40</v>
      </c>
      <c r="C22" s="12" t="s">
        <v>41</v>
      </c>
      <c r="D22" s="1" t="s">
        <v>51</v>
      </c>
      <c r="E22" s="3">
        <v>28</v>
      </c>
      <c r="F22" s="10">
        <v>33</v>
      </c>
      <c r="G22" s="3">
        <v>23</v>
      </c>
      <c r="H22" s="1">
        <v>62</v>
      </c>
      <c r="I22" s="1">
        <v>74</v>
      </c>
      <c r="J22" s="1">
        <v>19</v>
      </c>
      <c r="K22" s="1">
        <v>204</v>
      </c>
      <c r="L22" s="1">
        <v>51</v>
      </c>
      <c r="M22" s="15">
        <v>2</v>
      </c>
    </row>
    <row r="23" spans="1:13" ht="18" customHeight="1" x14ac:dyDescent="0.3">
      <c r="A23" s="14" t="s">
        <v>61</v>
      </c>
      <c r="B23" s="4" t="s">
        <v>44</v>
      </c>
      <c r="C23" s="12" t="s">
        <v>41</v>
      </c>
      <c r="D23" s="4" t="s">
        <v>42</v>
      </c>
      <c r="E23" s="6">
        <v>24</v>
      </c>
      <c r="F23" s="6">
        <v>29</v>
      </c>
      <c r="G23" s="5">
        <v>19</v>
      </c>
      <c r="H23" s="4">
        <v>32</v>
      </c>
      <c r="I23" s="4">
        <v>63</v>
      </c>
      <c r="J23" s="4">
        <v>18</v>
      </c>
      <c r="K23" s="4">
        <v>102</v>
      </c>
      <c r="L23" s="4">
        <v>34</v>
      </c>
      <c r="M23" s="16">
        <v>1</v>
      </c>
    </row>
    <row r="24" spans="1:13" ht="18" customHeight="1" x14ac:dyDescent="0.3">
      <c r="A24" s="13" t="s">
        <v>62</v>
      </c>
      <c r="B24" s="1" t="s">
        <v>47</v>
      </c>
      <c r="C24" s="12" t="s">
        <v>41</v>
      </c>
      <c r="D24" s="1" t="s">
        <v>45</v>
      </c>
      <c r="E24" s="3">
        <v>20</v>
      </c>
      <c r="F24" s="3">
        <v>25</v>
      </c>
      <c r="G24" s="8">
        <v>15</v>
      </c>
      <c r="H24" s="1">
        <v>18</v>
      </c>
      <c r="I24" s="1">
        <v>55</v>
      </c>
      <c r="J24" s="1">
        <v>17</v>
      </c>
      <c r="K24" s="1">
        <v>61</v>
      </c>
      <c r="L24" s="1">
        <v>20.3</v>
      </c>
      <c r="M24" s="15">
        <v>0</v>
      </c>
    </row>
    <row r="25" spans="1:13" ht="18" customHeight="1" x14ac:dyDescent="0.3">
      <c r="A25" s="14" t="s">
        <v>63</v>
      </c>
      <c r="B25" s="4" t="s">
        <v>50</v>
      </c>
      <c r="C25" s="2" t="s">
        <v>15</v>
      </c>
      <c r="D25" s="4" t="s">
        <v>48</v>
      </c>
      <c r="E25" s="6">
        <v>22</v>
      </c>
      <c r="F25" s="6">
        <v>27</v>
      </c>
      <c r="G25" s="5">
        <v>17</v>
      </c>
      <c r="H25" s="4">
        <v>10</v>
      </c>
      <c r="I25" s="4">
        <v>50</v>
      </c>
      <c r="J25" s="4">
        <v>15</v>
      </c>
      <c r="K25" s="4">
        <v>53</v>
      </c>
      <c r="L25" s="4">
        <v>13.2</v>
      </c>
      <c r="M25" s="16">
        <v>0</v>
      </c>
    </row>
    <row r="26" spans="1:13" ht="18" customHeight="1" x14ac:dyDescent="0.3">
      <c r="A26" s="13" t="s">
        <v>64</v>
      </c>
      <c r="B26" s="1" t="s">
        <v>14</v>
      </c>
      <c r="C26" s="2" t="s">
        <v>15</v>
      </c>
      <c r="D26" s="1" t="s">
        <v>29</v>
      </c>
      <c r="E26" s="8">
        <v>19</v>
      </c>
      <c r="F26" s="3">
        <v>24</v>
      </c>
      <c r="G26" s="8">
        <v>14</v>
      </c>
      <c r="H26" s="1">
        <v>22</v>
      </c>
      <c r="I26" s="1">
        <v>72</v>
      </c>
      <c r="J26" s="1">
        <v>20</v>
      </c>
      <c r="K26" s="1">
        <v>319</v>
      </c>
      <c r="L26" s="1">
        <v>79.8</v>
      </c>
      <c r="M26" s="15">
        <v>2</v>
      </c>
    </row>
    <row r="27" spans="1:13" ht="18" customHeight="1" x14ac:dyDescent="0.3">
      <c r="A27" s="14" t="s">
        <v>65</v>
      </c>
      <c r="B27" s="4" t="s">
        <v>18</v>
      </c>
      <c r="C27" s="2" t="s">
        <v>15</v>
      </c>
      <c r="D27" s="4" t="s">
        <v>38</v>
      </c>
      <c r="E27" s="6">
        <v>22</v>
      </c>
      <c r="F27" s="6">
        <v>27</v>
      </c>
      <c r="G27" s="5">
        <v>17</v>
      </c>
      <c r="H27" s="4">
        <v>18</v>
      </c>
      <c r="I27" s="4">
        <v>68</v>
      </c>
      <c r="J27" s="4">
        <v>18</v>
      </c>
      <c r="K27" s="4">
        <v>318</v>
      </c>
      <c r="L27" s="4">
        <v>79.5</v>
      </c>
      <c r="M27" s="16">
        <v>2</v>
      </c>
    </row>
    <row r="28" spans="1:13" ht="18" customHeight="1" x14ac:dyDescent="0.3">
      <c r="A28" s="13" t="s">
        <v>66</v>
      </c>
      <c r="B28" s="1" t="s">
        <v>21</v>
      </c>
      <c r="C28" s="7" t="s">
        <v>22</v>
      </c>
      <c r="D28" s="1" t="s">
        <v>16</v>
      </c>
      <c r="E28" s="3">
        <v>28</v>
      </c>
      <c r="F28" s="10">
        <v>33</v>
      </c>
      <c r="G28" s="3">
        <v>23</v>
      </c>
      <c r="H28" s="1">
        <v>58</v>
      </c>
      <c r="I28" s="1">
        <v>78</v>
      </c>
      <c r="J28" s="1">
        <v>16</v>
      </c>
      <c r="K28" s="1">
        <v>530</v>
      </c>
      <c r="L28" s="1">
        <v>132.5</v>
      </c>
      <c r="M28" s="15">
        <v>6</v>
      </c>
    </row>
    <row r="29" spans="1:13" ht="18" customHeight="1" x14ac:dyDescent="0.3">
      <c r="A29" s="14" t="s">
        <v>67</v>
      </c>
      <c r="B29" s="4" t="s">
        <v>25</v>
      </c>
      <c r="C29" s="7" t="s">
        <v>22</v>
      </c>
      <c r="D29" s="4" t="s">
        <v>23</v>
      </c>
      <c r="E29" s="6">
        <v>25</v>
      </c>
      <c r="F29" s="9">
        <v>30</v>
      </c>
      <c r="G29" s="6">
        <v>20</v>
      </c>
      <c r="H29" s="4">
        <v>70</v>
      </c>
      <c r="I29" s="4">
        <v>80</v>
      </c>
      <c r="J29" s="4">
        <v>17</v>
      </c>
      <c r="K29" s="4">
        <v>495</v>
      </c>
      <c r="L29" s="4">
        <v>123.8</v>
      </c>
      <c r="M29" s="16">
        <v>4</v>
      </c>
    </row>
    <row r="30" spans="1:13" ht="18" customHeight="1" x14ac:dyDescent="0.3">
      <c r="A30" s="13" t="s">
        <v>68</v>
      </c>
      <c r="B30" s="1" t="s">
        <v>28</v>
      </c>
      <c r="C30" s="7" t="s">
        <v>22</v>
      </c>
      <c r="D30" s="1" t="s">
        <v>19</v>
      </c>
      <c r="E30" s="10">
        <v>36</v>
      </c>
      <c r="F30" s="10">
        <v>42</v>
      </c>
      <c r="G30" s="10">
        <v>30</v>
      </c>
      <c r="H30" s="1">
        <v>5</v>
      </c>
      <c r="I30" s="1">
        <v>38</v>
      </c>
      <c r="J30" s="1">
        <v>28</v>
      </c>
      <c r="K30" s="1">
        <v>27</v>
      </c>
      <c r="L30" s="1">
        <v>6.8</v>
      </c>
      <c r="M30" s="15">
        <v>0</v>
      </c>
    </row>
    <row r="31" spans="1:13" ht="18" customHeight="1" x14ac:dyDescent="0.3">
      <c r="A31" s="14" t="s">
        <v>69</v>
      </c>
      <c r="B31" s="4" t="s">
        <v>31</v>
      </c>
      <c r="C31" s="11" t="s">
        <v>32</v>
      </c>
      <c r="D31" s="4" t="s">
        <v>51</v>
      </c>
      <c r="E31" s="6">
        <v>29</v>
      </c>
      <c r="F31" s="9">
        <v>34</v>
      </c>
      <c r="G31" s="6">
        <v>24</v>
      </c>
      <c r="H31" s="4">
        <v>82</v>
      </c>
      <c r="I31" s="4">
        <v>82</v>
      </c>
      <c r="J31" s="4">
        <v>20</v>
      </c>
      <c r="K31" s="4">
        <v>204</v>
      </c>
      <c r="L31" s="4">
        <v>51</v>
      </c>
      <c r="M31" s="16">
        <v>2</v>
      </c>
    </row>
    <row r="32" spans="1:13" ht="18" customHeight="1" x14ac:dyDescent="0.3">
      <c r="A32" s="13" t="s">
        <v>70</v>
      </c>
      <c r="B32" s="1" t="s">
        <v>35</v>
      </c>
      <c r="C32" s="11" t="s">
        <v>32</v>
      </c>
      <c r="D32" s="1" t="s">
        <v>33</v>
      </c>
      <c r="E32" s="10">
        <v>30</v>
      </c>
      <c r="F32" s="10">
        <v>35</v>
      </c>
      <c r="G32" s="3">
        <v>25</v>
      </c>
      <c r="H32" s="1">
        <v>118</v>
      </c>
      <c r="I32" s="1">
        <v>86</v>
      </c>
      <c r="J32" s="1">
        <v>22</v>
      </c>
      <c r="K32" s="1">
        <v>298</v>
      </c>
      <c r="L32" s="1">
        <v>59.6</v>
      </c>
      <c r="M32" s="15">
        <v>2</v>
      </c>
    </row>
    <row r="33" spans="1:13" ht="18" customHeight="1" x14ac:dyDescent="0.3">
      <c r="A33" s="14" t="s">
        <v>71</v>
      </c>
      <c r="B33" s="4" t="s">
        <v>37</v>
      </c>
      <c r="C33" s="11" t="s">
        <v>32</v>
      </c>
      <c r="D33" s="4" t="s">
        <v>16</v>
      </c>
      <c r="E33" s="6">
        <v>27</v>
      </c>
      <c r="F33" s="9">
        <v>31</v>
      </c>
      <c r="G33" s="6">
        <v>23</v>
      </c>
      <c r="H33" s="4">
        <v>155</v>
      </c>
      <c r="I33" s="4">
        <v>92</v>
      </c>
      <c r="J33" s="4">
        <v>24</v>
      </c>
      <c r="K33" s="4">
        <v>530</v>
      </c>
      <c r="L33" s="4">
        <v>132.5</v>
      </c>
      <c r="M33" s="16">
        <v>6</v>
      </c>
    </row>
    <row r="34" spans="1:13" ht="18" customHeight="1" x14ac:dyDescent="0.3">
      <c r="A34" s="13" t="s">
        <v>72</v>
      </c>
      <c r="B34" s="1" t="s">
        <v>40</v>
      </c>
      <c r="C34" s="12" t="s">
        <v>41</v>
      </c>
      <c r="D34" s="1" t="s">
        <v>26</v>
      </c>
      <c r="E34" s="3">
        <v>29</v>
      </c>
      <c r="F34" s="10">
        <v>34</v>
      </c>
      <c r="G34" s="3">
        <v>24</v>
      </c>
      <c r="H34" s="1">
        <v>55</v>
      </c>
      <c r="I34" s="1">
        <v>70</v>
      </c>
      <c r="J34" s="1">
        <v>18</v>
      </c>
      <c r="K34" s="1">
        <v>239</v>
      </c>
      <c r="L34" s="1">
        <v>47.8</v>
      </c>
      <c r="M34" s="15">
        <v>2</v>
      </c>
    </row>
    <row r="35" spans="1:13" ht="18" customHeight="1" x14ac:dyDescent="0.3">
      <c r="A35" s="14" t="s">
        <v>73</v>
      </c>
      <c r="B35" s="4" t="s">
        <v>44</v>
      </c>
      <c r="C35" s="12" t="s">
        <v>41</v>
      </c>
      <c r="D35" s="4" t="s">
        <v>48</v>
      </c>
      <c r="E35" s="6">
        <v>28</v>
      </c>
      <c r="F35" s="9">
        <v>33</v>
      </c>
      <c r="G35" s="6">
        <v>23</v>
      </c>
      <c r="H35" s="4">
        <v>20</v>
      </c>
      <c r="I35" s="4">
        <v>55</v>
      </c>
      <c r="J35" s="4">
        <v>15</v>
      </c>
      <c r="K35" s="4">
        <v>53</v>
      </c>
      <c r="L35" s="4">
        <v>13.2</v>
      </c>
      <c r="M35" s="16">
        <v>0</v>
      </c>
    </row>
    <row r="36" spans="1:13" ht="18" customHeight="1" x14ac:dyDescent="0.3">
      <c r="A36" s="13" t="s">
        <v>74</v>
      </c>
      <c r="B36" s="1" t="s">
        <v>47</v>
      </c>
      <c r="C36" s="12" t="s">
        <v>41</v>
      </c>
      <c r="D36" s="1" t="s">
        <v>29</v>
      </c>
      <c r="E36" s="3">
        <v>23</v>
      </c>
      <c r="F36" s="3">
        <v>28</v>
      </c>
      <c r="G36" s="8">
        <v>18</v>
      </c>
      <c r="H36" s="1">
        <v>35</v>
      </c>
      <c r="I36" s="1">
        <v>65</v>
      </c>
      <c r="J36" s="1">
        <v>17</v>
      </c>
      <c r="K36" s="1">
        <v>319</v>
      </c>
      <c r="L36" s="1">
        <v>79.8</v>
      </c>
      <c r="M36" s="15">
        <v>2</v>
      </c>
    </row>
    <row r="37" spans="1:13" ht="18" customHeight="1" x14ac:dyDescent="0.3">
      <c r="A37" s="14" t="s">
        <v>75</v>
      </c>
      <c r="B37" s="4" t="s">
        <v>50</v>
      </c>
      <c r="C37" s="2" t="s">
        <v>15</v>
      </c>
      <c r="D37" s="4" t="s">
        <v>42</v>
      </c>
      <c r="E37" s="5">
        <v>14</v>
      </c>
      <c r="F37" s="5">
        <v>19</v>
      </c>
      <c r="G37" s="5">
        <v>9</v>
      </c>
      <c r="H37" s="4">
        <v>12</v>
      </c>
      <c r="I37" s="4">
        <v>58</v>
      </c>
      <c r="J37" s="4">
        <v>19</v>
      </c>
      <c r="K37" s="4">
        <v>102</v>
      </c>
      <c r="L37" s="4">
        <v>34</v>
      </c>
      <c r="M37" s="16">
        <v>1</v>
      </c>
    </row>
    <row r="38" spans="1:13" ht="18" customHeight="1" x14ac:dyDescent="0.3">
      <c r="A38" s="13" t="s">
        <v>76</v>
      </c>
      <c r="B38" s="1" t="s">
        <v>14</v>
      </c>
      <c r="C38" s="2" t="s">
        <v>15</v>
      </c>
      <c r="D38" s="1" t="s">
        <v>45</v>
      </c>
      <c r="E38" s="8">
        <v>12</v>
      </c>
      <c r="F38" s="8">
        <v>17</v>
      </c>
      <c r="G38" s="8">
        <v>7</v>
      </c>
      <c r="H38" s="1">
        <v>15</v>
      </c>
      <c r="I38" s="1">
        <v>70</v>
      </c>
      <c r="J38" s="1">
        <v>22</v>
      </c>
      <c r="K38" s="1">
        <v>61</v>
      </c>
      <c r="L38" s="1">
        <v>20.3</v>
      </c>
      <c r="M38" s="15">
        <v>0</v>
      </c>
    </row>
    <row r="39" spans="1:13" ht="18" customHeight="1" x14ac:dyDescent="0.3">
      <c r="A39" s="14" t="s">
        <v>77</v>
      </c>
      <c r="B39" s="4" t="s">
        <v>18</v>
      </c>
      <c r="C39" s="2" t="s">
        <v>15</v>
      </c>
      <c r="D39" s="4" t="s">
        <v>51</v>
      </c>
      <c r="E39" s="6">
        <v>24</v>
      </c>
      <c r="F39" s="6">
        <v>29</v>
      </c>
      <c r="G39" s="5">
        <v>19</v>
      </c>
      <c r="H39" s="4">
        <v>22</v>
      </c>
      <c r="I39" s="4">
        <v>64</v>
      </c>
      <c r="J39" s="4">
        <v>16</v>
      </c>
      <c r="K39" s="4">
        <v>204</v>
      </c>
      <c r="L39" s="4">
        <v>51</v>
      </c>
      <c r="M39" s="16">
        <v>2</v>
      </c>
    </row>
    <row r="40" spans="1:13" ht="18" customHeight="1" x14ac:dyDescent="0.3">
      <c r="A40" s="13" t="s">
        <v>78</v>
      </c>
      <c r="B40" s="1" t="s">
        <v>21</v>
      </c>
      <c r="C40" s="7" t="s">
        <v>22</v>
      </c>
      <c r="D40" s="1" t="s">
        <v>48</v>
      </c>
      <c r="E40" s="3">
        <v>28</v>
      </c>
      <c r="F40" s="10">
        <v>34</v>
      </c>
      <c r="G40" s="3">
        <v>22</v>
      </c>
      <c r="H40" s="1">
        <v>8</v>
      </c>
      <c r="I40" s="1">
        <v>44</v>
      </c>
      <c r="J40" s="1">
        <v>20</v>
      </c>
      <c r="K40" s="1">
        <v>53</v>
      </c>
      <c r="L40" s="1">
        <v>13.2</v>
      </c>
      <c r="M40" s="15">
        <v>0</v>
      </c>
    </row>
    <row r="41" spans="1:13" ht="18" customHeight="1" x14ac:dyDescent="0.3">
      <c r="A41" s="14" t="s">
        <v>79</v>
      </c>
      <c r="B41" s="4" t="s">
        <v>25</v>
      </c>
      <c r="C41" s="7" t="s">
        <v>22</v>
      </c>
      <c r="D41" s="4" t="s">
        <v>38</v>
      </c>
      <c r="E41" s="9">
        <v>33</v>
      </c>
      <c r="F41" s="9">
        <v>38</v>
      </c>
      <c r="G41" s="6">
        <v>28</v>
      </c>
      <c r="H41" s="4">
        <v>38</v>
      </c>
      <c r="I41" s="4">
        <v>65</v>
      </c>
      <c r="J41" s="4">
        <v>15</v>
      </c>
      <c r="K41" s="4">
        <v>318</v>
      </c>
      <c r="L41" s="4">
        <v>79.5</v>
      </c>
      <c r="M41" s="16">
        <v>2</v>
      </c>
    </row>
    <row r="42" spans="1:13" ht="18" customHeight="1" x14ac:dyDescent="0.3">
      <c r="A42" s="13" t="s">
        <v>80</v>
      </c>
      <c r="B42" s="1" t="s">
        <v>28</v>
      </c>
      <c r="C42" s="7" t="s">
        <v>22</v>
      </c>
      <c r="D42" s="1" t="s">
        <v>33</v>
      </c>
      <c r="E42" s="10">
        <v>35</v>
      </c>
      <c r="F42" s="10">
        <v>40</v>
      </c>
      <c r="G42" s="10">
        <v>30</v>
      </c>
      <c r="H42" s="1">
        <v>28</v>
      </c>
      <c r="I42" s="1">
        <v>60</v>
      </c>
      <c r="J42" s="1">
        <v>14</v>
      </c>
      <c r="K42" s="1">
        <v>298</v>
      </c>
      <c r="L42" s="1">
        <v>59.6</v>
      </c>
      <c r="M42" s="15">
        <v>2</v>
      </c>
    </row>
    <row r="43" spans="1:13" ht="18" customHeight="1" x14ac:dyDescent="0.3">
      <c r="A43" s="14" t="s">
        <v>81</v>
      </c>
      <c r="B43" s="4" t="s">
        <v>31</v>
      </c>
      <c r="C43" s="11" t="s">
        <v>32</v>
      </c>
      <c r="D43" s="4" t="s">
        <v>23</v>
      </c>
      <c r="E43" s="6">
        <v>28</v>
      </c>
      <c r="F43" s="9">
        <v>33</v>
      </c>
      <c r="G43" s="6">
        <v>23</v>
      </c>
      <c r="H43" s="4">
        <v>148</v>
      </c>
      <c r="I43" s="4">
        <v>90</v>
      </c>
      <c r="J43" s="4">
        <v>23</v>
      </c>
      <c r="K43" s="4">
        <v>495</v>
      </c>
      <c r="L43" s="4">
        <v>123.8</v>
      </c>
      <c r="M43" s="16">
        <v>4</v>
      </c>
    </row>
    <row r="44" spans="1:13" ht="18" customHeight="1" x14ac:dyDescent="0.3">
      <c r="A44" s="13" t="s">
        <v>82</v>
      </c>
      <c r="B44" s="1" t="s">
        <v>35</v>
      </c>
      <c r="C44" s="11" t="s">
        <v>32</v>
      </c>
      <c r="D44" s="1" t="s">
        <v>29</v>
      </c>
      <c r="E44" s="3">
        <v>29</v>
      </c>
      <c r="F44" s="10">
        <v>34</v>
      </c>
      <c r="G44" s="3">
        <v>24</v>
      </c>
      <c r="H44" s="1">
        <v>132</v>
      </c>
      <c r="I44" s="1">
        <v>88</v>
      </c>
      <c r="J44" s="1">
        <v>22</v>
      </c>
      <c r="K44" s="1">
        <v>319</v>
      </c>
      <c r="L44" s="1">
        <v>79.8</v>
      </c>
      <c r="M44" s="15">
        <v>2</v>
      </c>
    </row>
    <row r="45" spans="1:13" ht="18" customHeight="1" x14ac:dyDescent="0.3">
      <c r="A45" s="14" t="s">
        <v>83</v>
      </c>
      <c r="B45" s="4" t="s">
        <v>37</v>
      </c>
      <c r="C45" s="11" t="s">
        <v>32</v>
      </c>
      <c r="D45" s="4" t="s">
        <v>38</v>
      </c>
      <c r="E45" s="9">
        <v>30</v>
      </c>
      <c r="F45" s="9">
        <v>35</v>
      </c>
      <c r="G45" s="6">
        <v>25</v>
      </c>
      <c r="H45" s="4">
        <v>108</v>
      </c>
      <c r="I45" s="4">
        <v>84</v>
      </c>
      <c r="J45" s="4">
        <v>24</v>
      </c>
      <c r="K45" s="4">
        <v>318</v>
      </c>
      <c r="L45" s="4">
        <v>79.5</v>
      </c>
      <c r="M45" s="16">
        <v>2</v>
      </c>
    </row>
    <row r="46" spans="1:13" ht="18" customHeight="1" x14ac:dyDescent="0.3">
      <c r="A46" s="13" t="s">
        <v>84</v>
      </c>
      <c r="B46" s="1" t="s">
        <v>40</v>
      </c>
      <c r="C46" s="12" t="s">
        <v>41</v>
      </c>
      <c r="D46" s="1" t="s">
        <v>16</v>
      </c>
      <c r="E46" s="3">
        <v>27</v>
      </c>
      <c r="F46" s="10">
        <v>32</v>
      </c>
      <c r="G46" s="3">
        <v>22</v>
      </c>
      <c r="H46" s="1">
        <v>72</v>
      </c>
      <c r="I46" s="1">
        <v>78</v>
      </c>
      <c r="J46" s="1">
        <v>20</v>
      </c>
      <c r="K46" s="1">
        <v>530</v>
      </c>
      <c r="L46" s="1">
        <v>132.5</v>
      </c>
      <c r="M46" s="15">
        <v>6</v>
      </c>
    </row>
    <row r="47" spans="1:13" ht="18" customHeight="1" x14ac:dyDescent="0.3">
      <c r="A47" s="14" t="s">
        <v>85</v>
      </c>
      <c r="B47" s="4" t="s">
        <v>44</v>
      </c>
      <c r="C47" s="12" t="s">
        <v>41</v>
      </c>
      <c r="D47" s="4" t="s">
        <v>19</v>
      </c>
      <c r="E47" s="6">
        <v>26</v>
      </c>
      <c r="F47" s="9">
        <v>32</v>
      </c>
      <c r="G47" s="6">
        <v>20</v>
      </c>
      <c r="H47" s="4">
        <v>12</v>
      </c>
      <c r="I47" s="4">
        <v>48</v>
      </c>
      <c r="J47" s="4">
        <v>18</v>
      </c>
      <c r="K47" s="4">
        <v>27</v>
      </c>
      <c r="L47" s="4">
        <v>6.8</v>
      </c>
      <c r="M47" s="16">
        <v>0</v>
      </c>
    </row>
    <row r="48" spans="1:13" ht="18" customHeight="1" x14ac:dyDescent="0.3">
      <c r="A48" s="13" t="s">
        <v>86</v>
      </c>
      <c r="B48" s="1" t="s">
        <v>47</v>
      </c>
      <c r="C48" s="12" t="s">
        <v>41</v>
      </c>
      <c r="D48" s="1" t="s">
        <v>26</v>
      </c>
      <c r="E48" s="3">
        <v>24</v>
      </c>
      <c r="F48" s="3">
        <v>29</v>
      </c>
      <c r="G48" s="8">
        <v>19</v>
      </c>
      <c r="H48" s="1">
        <v>28</v>
      </c>
      <c r="I48" s="1">
        <v>60</v>
      </c>
      <c r="J48" s="1">
        <v>16</v>
      </c>
      <c r="K48" s="1">
        <v>239</v>
      </c>
      <c r="L48" s="1">
        <v>47.8</v>
      </c>
      <c r="M48" s="15">
        <v>2</v>
      </c>
    </row>
    <row r="49" spans="1:13" ht="18" customHeight="1" x14ac:dyDescent="0.3">
      <c r="A49" s="14" t="s">
        <v>87</v>
      </c>
      <c r="B49" s="4" t="s">
        <v>50</v>
      </c>
      <c r="C49" s="2" t="s">
        <v>15</v>
      </c>
      <c r="D49" s="4" t="s">
        <v>23</v>
      </c>
      <c r="E49" s="5">
        <v>18</v>
      </c>
      <c r="F49" s="6">
        <v>23</v>
      </c>
      <c r="G49" s="5">
        <v>13</v>
      </c>
      <c r="H49" s="4">
        <v>25</v>
      </c>
      <c r="I49" s="4">
        <v>72</v>
      </c>
      <c r="J49" s="4">
        <v>18</v>
      </c>
      <c r="K49" s="4">
        <v>495</v>
      </c>
      <c r="L49" s="4">
        <v>123.8</v>
      </c>
      <c r="M49" s="16">
        <v>4</v>
      </c>
    </row>
    <row r="50" spans="1:13" ht="18" customHeight="1" x14ac:dyDescent="0.3">
      <c r="A50" s="13" t="s">
        <v>88</v>
      </c>
      <c r="B50" s="1" t="s">
        <v>14</v>
      </c>
      <c r="C50" s="2" t="s">
        <v>15</v>
      </c>
      <c r="D50" s="1" t="s">
        <v>33</v>
      </c>
      <c r="E50" s="3">
        <v>22</v>
      </c>
      <c r="F50" s="3">
        <v>27</v>
      </c>
      <c r="G50" s="8">
        <v>17</v>
      </c>
      <c r="H50" s="1">
        <v>42</v>
      </c>
      <c r="I50" s="1">
        <v>74</v>
      </c>
      <c r="J50" s="1">
        <v>17</v>
      </c>
      <c r="K50" s="1">
        <v>298</v>
      </c>
      <c r="L50" s="1">
        <v>59.6</v>
      </c>
      <c r="M50" s="15">
        <v>2</v>
      </c>
    </row>
    <row r="51" spans="1:13" ht="18" customHeight="1" x14ac:dyDescent="0.3">
      <c r="A51" s="14" t="s">
        <v>89</v>
      </c>
      <c r="B51" s="4" t="s">
        <v>18</v>
      </c>
      <c r="C51" s="2" t="s">
        <v>15</v>
      </c>
      <c r="D51" s="4" t="s">
        <v>26</v>
      </c>
      <c r="E51" s="6">
        <v>26</v>
      </c>
      <c r="F51" s="9">
        <v>31</v>
      </c>
      <c r="G51" s="6">
        <v>21</v>
      </c>
      <c r="H51" s="4">
        <v>10</v>
      </c>
      <c r="I51" s="4">
        <v>55</v>
      </c>
      <c r="J51" s="4">
        <v>15</v>
      </c>
      <c r="K51" s="4">
        <v>239</v>
      </c>
      <c r="L51" s="4">
        <v>47.8</v>
      </c>
      <c r="M51" s="16">
        <v>2</v>
      </c>
    </row>
    <row r="52" spans="1:13" ht="18" customHeight="1" x14ac:dyDescent="0.3">
      <c r="A52" s="13" t="s">
        <v>90</v>
      </c>
      <c r="B52" s="1" t="s">
        <v>14</v>
      </c>
      <c r="C52" s="2" t="s">
        <v>15</v>
      </c>
      <c r="D52" s="1" t="s">
        <v>16</v>
      </c>
      <c r="E52" s="3">
        <v>20</v>
      </c>
      <c r="F52" s="3">
        <v>23.3</v>
      </c>
      <c r="G52" s="8">
        <v>14.6</v>
      </c>
      <c r="H52" s="1">
        <v>40.5</v>
      </c>
      <c r="I52" s="1">
        <v>45</v>
      </c>
      <c r="J52" s="1">
        <v>11.5</v>
      </c>
      <c r="K52" s="1">
        <v>530</v>
      </c>
      <c r="L52" s="1">
        <v>132.5</v>
      </c>
      <c r="M52" s="15">
        <v>6</v>
      </c>
    </row>
    <row r="53" spans="1:13" ht="18" customHeight="1" x14ac:dyDescent="0.3">
      <c r="A53" s="14" t="s">
        <v>91</v>
      </c>
      <c r="B53" s="4" t="s">
        <v>18</v>
      </c>
      <c r="C53" s="2" t="s">
        <v>15</v>
      </c>
      <c r="D53" s="4" t="s">
        <v>19</v>
      </c>
      <c r="E53" s="6">
        <v>23.9</v>
      </c>
      <c r="F53" s="6">
        <v>27.5</v>
      </c>
      <c r="G53" s="6">
        <v>20.8</v>
      </c>
      <c r="H53" s="4">
        <v>4.0999999999999996</v>
      </c>
      <c r="I53" s="4">
        <v>42</v>
      </c>
      <c r="J53" s="4">
        <v>13.2</v>
      </c>
      <c r="K53" s="4">
        <v>27</v>
      </c>
      <c r="L53" s="4">
        <v>6.8</v>
      </c>
      <c r="M53" s="16">
        <v>0</v>
      </c>
    </row>
    <row r="54" spans="1:13" ht="18" customHeight="1" x14ac:dyDescent="0.3">
      <c r="A54" s="13" t="s">
        <v>92</v>
      </c>
      <c r="B54" s="1" t="s">
        <v>21</v>
      </c>
      <c r="C54" s="7" t="s">
        <v>22</v>
      </c>
      <c r="D54" s="1" t="s">
        <v>33</v>
      </c>
      <c r="E54" s="3">
        <v>29.7</v>
      </c>
      <c r="F54" s="10">
        <v>35.1</v>
      </c>
      <c r="G54" s="3">
        <v>24.7</v>
      </c>
      <c r="H54" s="1">
        <v>18</v>
      </c>
      <c r="I54" s="1">
        <v>47</v>
      </c>
      <c r="J54" s="1">
        <v>27.7</v>
      </c>
      <c r="K54" s="1">
        <v>298</v>
      </c>
      <c r="L54" s="1">
        <v>59.6</v>
      </c>
      <c r="M54" s="15">
        <v>2</v>
      </c>
    </row>
    <row r="55" spans="1:13" ht="18" customHeight="1" x14ac:dyDescent="0.3">
      <c r="A55" s="14" t="s">
        <v>93</v>
      </c>
      <c r="B55" s="4" t="s">
        <v>25</v>
      </c>
      <c r="C55" s="7" t="s">
        <v>22</v>
      </c>
      <c r="D55" s="4" t="s">
        <v>29</v>
      </c>
      <c r="E55" s="6">
        <v>26.2</v>
      </c>
      <c r="F55" s="9">
        <v>30.9</v>
      </c>
      <c r="G55" s="6">
        <v>22</v>
      </c>
      <c r="H55" s="4">
        <v>26.4</v>
      </c>
      <c r="I55" s="4">
        <v>44</v>
      </c>
      <c r="J55" s="4">
        <v>11.2</v>
      </c>
      <c r="K55" s="4">
        <v>319</v>
      </c>
      <c r="L55" s="4">
        <v>79.8</v>
      </c>
      <c r="M55" s="16">
        <v>2</v>
      </c>
    </row>
    <row r="56" spans="1:13" ht="18" customHeight="1" x14ac:dyDescent="0.3">
      <c r="A56" s="13" t="s">
        <v>94</v>
      </c>
      <c r="B56" s="1" t="s">
        <v>28</v>
      </c>
      <c r="C56" s="7" t="s">
        <v>22</v>
      </c>
      <c r="D56" s="1" t="s">
        <v>23</v>
      </c>
      <c r="E56" s="3">
        <v>22.5</v>
      </c>
      <c r="F56" s="3">
        <v>26.9</v>
      </c>
      <c r="G56" s="8">
        <v>18.3</v>
      </c>
      <c r="H56" s="1">
        <v>55.2</v>
      </c>
      <c r="I56" s="1">
        <v>57</v>
      </c>
      <c r="J56" s="1">
        <v>16.5</v>
      </c>
      <c r="K56" s="1">
        <v>495</v>
      </c>
      <c r="L56" s="1">
        <v>123.8</v>
      </c>
      <c r="M56" s="15">
        <v>4</v>
      </c>
    </row>
    <row r="57" spans="1:13" ht="18" customHeight="1" x14ac:dyDescent="0.3">
      <c r="A57" s="14" t="s">
        <v>95</v>
      </c>
      <c r="B57" s="4" t="s">
        <v>31</v>
      </c>
      <c r="C57" s="11" t="s">
        <v>32</v>
      </c>
      <c r="D57" s="4" t="s">
        <v>48</v>
      </c>
      <c r="E57" s="9">
        <v>34.6</v>
      </c>
      <c r="F57" s="9">
        <v>39.700000000000003</v>
      </c>
      <c r="G57" s="6">
        <v>28.7</v>
      </c>
      <c r="H57" s="4">
        <v>56.7</v>
      </c>
      <c r="I57" s="4">
        <v>50</v>
      </c>
      <c r="J57" s="4">
        <v>9.5</v>
      </c>
      <c r="K57" s="4">
        <v>53</v>
      </c>
      <c r="L57" s="4">
        <v>13.2</v>
      </c>
      <c r="M57" s="16">
        <v>0</v>
      </c>
    </row>
    <row r="58" spans="1:13" ht="18" customHeight="1" x14ac:dyDescent="0.3">
      <c r="A58" s="13" t="s">
        <v>96</v>
      </c>
      <c r="B58" s="1" t="s">
        <v>35</v>
      </c>
      <c r="C58" s="11" t="s">
        <v>32</v>
      </c>
      <c r="D58" s="1" t="s">
        <v>26</v>
      </c>
      <c r="E58" s="10">
        <v>32.9</v>
      </c>
      <c r="F58" s="10">
        <v>37.700000000000003</v>
      </c>
      <c r="G58" s="3">
        <v>28.2</v>
      </c>
      <c r="H58" s="1">
        <v>45</v>
      </c>
      <c r="I58" s="1">
        <v>52</v>
      </c>
      <c r="J58" s="1">
        <v>12</v>
      </c>
      <c r="K58" s="1">
        <v>239</v>
      </c>
      <c r="L58" s="1">
        <v>47.8</v>
      </c>
      <c r="M58" s="15">
        <v>2</v>
      </c>
    </row>
    <row r="59" spans="1:13" ht="18" customHeight="1" x14ac:dyDescent="0.3">
      <c r="A59" s="14" t="s">
        <v>97</v>
      </c>
      <c r="B59" s="4" t="s">
        <v>37</v>
      </c>
      <c r="C59" s="11" t="s">
        <v>32</v>
      </c>
      <c r="D59" s="4" t="s">
        <v>38</v>
      </c>
      <c r="E59" s="9">
        <v>34.299999999999997</v>
      </c>
      <c r="F59" s="9">
        <v>38.299999999999997</v>
      </c>
      <c r="G59" s="6">
        <v>29</v>
      </c>
      <c r="H59" s="4">
        <v>125.1</v>
      </c>
      <c r="I59" s="4">
        <v>76</v>
      </c>
      <c r="J59" s="4">
        <v>13.4</v>
      </c>
      <c r="K59" s="4">
        <v>318</v>
      </c>
      <c r="L59" s="4">
        <v>79.5</v>
      </c>
      <c r="M59" s="16">
        <v>2</v>
      </c>
    </row>
    <row r="60" spans="1:13" ht="18" customHeight="1" x14ac:dyDescent="0.3">
      <c r="A60" s="13" t="s">
        <v>98</v>
      </c>
      <c r="B60" s="1" t="s">
        <v>40</v>
      </c>
      <c r="C60" s="12" t="s">
        <v>41</v>
      </c>
      <c r="D60" s="1" t="s">
        <v>51</v>
      </c>
      <c r="E60" s="3">
        <v>25.3</v>
      </c>
      <c r="F60" s="10">
        <v>30.6</v>
      </c>
      <c r="G60" s="3">
        <v>21.2</v>
      </c>
      <c r="H60" s="1">
        <v>82.6</v>
      </c>
      <c r="I60" s="1">
        <v>63</v>
      </c>
      <c r="J60" s="1">
        <v>22.9</v>
      </c>
      <c r="K60" s="1">
        <v>204</v>
      </c>
      <c r="L60" s="1">
        <v>51</v>
      </c>
      <c r="M60" s="15">
        <v>2</v>
      </c>
    </row>
    <row r="61" spans="1:13" ht="18" customHeight="1" x14ac:dyDescent="0.3">
      <c r="A61" s="14" t="s">
        <v>99</v>
      </c>
      <c r="B61" s="4" t="s">
        <v>44</v>
      </c>
      <c r="C61" s="12" t="s">
        <v>41</v>
      </c>
      <c r="D61" s="4" t="s">
        <v>42</v>
      </c>
      <c r="E61" s="6">
        <v>21</v>
      </c>
      <c r="F61" s="6">
        <v>26.8</v>
      </c>
      <c r="G61" s="5">
        <v>17.5</v>
      </c>
      <c r="H61" s="4">
        <v>79.7</v>
      </c>
      <c r="I61" s="4">
        <v>62</v>
      </c>
      <c r="J61" s="4">
        <v>8.3000000000000007</v>
      </c>
      <c r="K61" s="4">
        <v>102</v>
      </c>
      <c r="L61" s="4">
        <v>34</v>
      </c>
      <c r="M61" s="16">
        <v>1</v>
      </c>
    </row>
    <row r="62" spans="1:13" ht="18" customHeight="1" x14ac:dyDescent="0.3">
      <c r="A62" s="13" t="s">
        <v>100</v>
      </c>
      <c r="B62" s="1" t="s">
        <v>47</v>
      </c>
      <c r="C62" s="12" t="s">
        <v>41</v>
      </c>
      <c r="D62" s="1" t="s">
        <v>16</v>
      </c>
      <c r="E62" s="3">
        <v>24.5</v>
      </c>
      <c r="F62" s="3">
        <v>28.2</v>
      </c>
      <c r="G62" s="8">
        <v>18.899999999999999</v>
      </c>
      <c r="H62" s="1">
        <v>154.5</v>
      </c>
      <c r="I62" s="1">
        <v>79</v>
      </c>
      <c r="J62" s="1">
        <v>9.5</v>
      </c>
      <c r="K62" s="1">
        <v>530</v>
      </c>
      <c r="L62" s="1">
        <v>132.5</v>
      </c>
      <c r="M62" s="15">
        <v>6</v>
      </c>
    </row>
    <row r="63" spans="1:13" ht="18" customHeight="1" x14ac:dyDescent="0.3">
      <c r="A63" s="14" t="s">
        <v>101</v>
      </c>
      <c r="B63" s="4" t="s">
        <v>50</v>
      </c>
      <c r="C63" s="2" t="s">
        <v>15</v>
      </c>
      <c r="D63" s="4" t="s">
        <v>33</v>
      </c>
      <c r="E63" s="6">
        <v>22</v>
      </c>
      <c r="F63" s="6">
        <v>25.2</v>
      </c>
      <c r="G63" s="5">
        <v>18.100000000000001</v>
      </c>
      <c r="H63" s="4">
        <v>62.2</v>
      </c>
      <c r="I63" s="4">
        <v>58</v>
      </c>
      <c r="J63" s="4">
        <v>22.5</v>
      </c>
      <c r="K63" s="4">
        <v>298</v>
      </c>
      <c r="L63" s="4">
        <v>59.6</v>
      </c>
      <c r="M63" s="16">
        <v>2</v>
      </c>
    </row>
    <row r="64" spans="1:13" ht="18" customHeight="1" x14ac:dyDescent="0.3">
      <c r="A64" s="13" t="s">
        <v>102</v>
      </c>
      <c r="B64" s="1" t="s">
        <v>14</v>
      </c>
      <c r="C64" s="2" t="s">
        <v>15</v>
      </c>
      <c r="D64" s="1" t="s">
        <v>23</v>
      </c>
      <c r="E64" s="8">
        <v>13.7</v>
      </c>
      <c r="F64" s="8">
        <v>16.899999999999999</v>
      </c>
      <c r="G64" s="8">
        <v>9.6999999999999993</v>
      </c>
      <c r="H64" s="1">
        <v>23</v>
      </c>
      <c r="I64" s="1">
        <v>48</v>
      </c>
      <c r="J64" s="1">
        <v>29.6</v>
      </c>
      <c r="K64" s="1">
        <v>495</v>
      </c>
      <c r="L64" s="1">
        <v>123.8</v>
      </c>
      <c r="M64" s="15">
        <v>4</v>
      </c>
    </row>
    <row r="65" spans="1:13" ht="18" customHeight="1" x14ac:dyDescent="0.3">
      <c r="A65" s="14" t="s">
        <v>103</v>
      </c>
      <c r="B65" s="4" t="s">
        <v>18</v>
      </c>
      <c r="C65" s="2" t="s">
        <v>15</v>
      </c>
      <c r="D65" s="4" t="s">
        <v>48</v>
      </c>
      <c r="E65" s="6">
        <v>20.2</v>
      </c>
      <c r="F65" s="6">
        <v>23.6</v>
      </c>
      <c r="G65" s="5">
        <v>15.2</v>
      </c>
      <c r="H65" s="4">
        <v>4.9000000000000004</v>
      </c>
      <c r="I65" s="4">
        <v>43</v>
      </c>
      <c r="J65" s="4">
        <v>18.5</v>
      </c>
      <c r="K65" s="4">
        <v>53</v>
      </c>
      <c r="L65" s="4">
        <v>13.2</v>
      </c>
      <c r="M65" s="16">
        <v>0</v>
      </c>
    </row>
    <row r="66" spans="1:13" ht="18" customHeight="1" x14ac:dyDescent="0.3">
      <c r="A66" s="13" t="s">
        <v>104</v>
      </c>
      <c r="B66" s="1" t="s">
        <v>21</v>
      </c>
      <c r="C66" s="7" t="s">
        <v>22</v>
      </c>
      <c r="D66" s="1" t="s">
        <v>38</v>
      </c>
      <c r="E66" s="3">
        <v>26.5</v>
      </c>
      <c r="F66" s="10">
        <v>30</v>
      </c>
      <c r="G66" s="3">
        <v>22.4</v>
      </c>
      <c r="H66" s="1">
        <v>33.5</v>
      </c>
      <c r="I66" s="1">
        <v>50</v>
      </c>
      <c r="J66" s="1">
        <v>18.7</v>
      </c>
      <c r="K66" s="1">
        <v>318</v>
      </c>
      <c r="L66" s="1">
        <v>79.5</v>
      </c>
      <c r="M66" s="15">
        <v>2</v>
      </c>
    </row>
    <row r="67" spans="1:13" ht="18" customHeight="1" x14ac:dyDescent="0.3">
      <c r="A67" s="14" t="s">
        <v>105</v>
      </c>
      <c r="B67" s="4" t="s">
        <v>25</v>
      </c>
      <c r="C67" s="7" t="s">
        <v>22</v>
      </c>
      <c r="D67" s="4" t="s">
        <v>19</v>
      </c>
      <c r="E67" s="9">
        <v>31.2</v>
      </c>
      <c r="F67" s="9">
        <v>35.799999999999997</v>
      </c>
      <c r="G67" s="6">
        <v>27.4</v>
      </c>
      <c r="H67" s="4">
        <v>9.1</v>
      </c>
      <c r="I67" s="4">
        <v>43</v>
      </c>
      <c r="J67" s="4">
        <v>8.1999999999999993</v>
      </c>
      <c r="K67" s="4">
        <v>27</v>
      </c>
      <c r="L67" s="4">
        <v>6.8</v>
      </c>
      <c r="M67" s="16">
        <v>0</v>
      </c>
    </row>
    <row r="68" spans="1:13" ht="18" customHeight="1" x14ac:dyDescent="0.3">
      <c r="A68" s="13" t="s">
        <v>106</v>
      </c>
      <c r="B68" s="1" t="s">
        <v>28</v>
      </c>
      <c r="C68" s="7" t="s">
        <v>22</v>
      </c>
      <c r="D68" s="1" t="s">
        <v>51</v>
      </c>
      <c r="E68" s="3">
        <v>26.9</v>
      </c>
      <c r="F68" s="10">
        <v>30.7</v>
      </c>
      <c r="G68" s="3">
        <v>22.9</v>
      </c>
      <c r="H68" s="1">
        <v>22.5</v>
      </c>
      <c r="I68" s="1">
        <v>42</v>
      </c>
      <c r="J68" s="1">
        <v>29</v>
      </c>
      <c r="K68" s="1">
        <v>204</v>
      </c>
      <c r="L68" s="1">
        <v>51</v>
      </c>
      <c r="M68" s="15">
        <v>2</v>
      </c>
    </row>
    <row r="69" spans="1:13" ht="18" customHeight="1" x14ac:dyDescent="0.3">
      <c r="A69" s="14" t="s">
        <v>107</v>
      </c>
      <c r="B69" s="4" t="s">
        <v>31</v>
      </c>
      <c r="C69" s="11" t="s">
        <v>32</v>
      </c>
      <c r="D69" s="4" t="s">
        <v>16</v>
      </c>
      <c r="E69" s="9">
        <v>32.6</v>
      </c>
      <c r="F69" s="9">
        <v>38.5</v>
      </c>
      <c r="G69" s="6">
        <v>26.9</v>
      </c>
      <c r="H69" s="4">
        <v>120.3</v>
      </c>
      <c r="I69" s="4">
        <v>69</v>
      </c>
      <c r="J69" s="4">
        <v>10.1</v>
      </c>
      <c r="K69" s="4">
        <v>530</v>
      </c>
      <c r="L69" s="4">
        <v>132.5</v>
      </c>
      <c r="M69" s="16">
        <v>6</v>
      </c>
    </row>
    <row r="70" spans="1:13" ht="18" customHeight="1" x14ac:dyDescent="0.3">
      <c r="A70" s="13" t="s">
        <v>108</v>
      </c>
      <c r="B70" s="1" t="s">
        <v>35</v>
      </c>
      <c r="C70" s="11" t="s">
        <v>32</v>
      </c>
      <c r="D70" s="1" t="s">
        <v>29</v>
      </c>
      <c r="E70" s="10">
        <v>32.6</v>
      </c>
      <c r="F70" s="10">
        <v>38</v>
      </c>
      <c r="G70" s="3">
        <v>29.4</v>
      </c>
      <c r="H70" s="1">
        <v>97.5</v>
      </c>
      <c r="I70" s="1">
        <v>62</v>
      </c>
      <c r="J70" s="1">
        <v>14.2</v>
      </c>
      <c r="K70" s="1">
        <v>319</v>
      </c>
      <c r="L70" s="1">
        <v>79.8</v>
      </c>
      <c r="M70" s="15">
        <v>2</v>
      </c>
    </row>
    <row r="71" spans="1:13" ht="18" customHeight="1" x14ac:dyDescent="0.3">
      <c r="A71" s="14" t="s">
        <v>109</v>
      </c>
      <c r="B71" s="4" t="s">
        <v>37</v>
      </c>
      <c r="C71" s="11" t="s">
        <v>32</v>
      </c>
      <c r="D71" s="4" t="s">
        <v>42</v>
      </c>
      <c r="E71" s="6">
        <v>29.3</v>
      </c>
      <c r="F71" s="9">
        <v>33.799999999999997</v>
      </c>
      <c r="G71" s="6">
        <v>25.6</v>
      </c>
      <c r="H71" s="4">
        <v>68.5</v>
      </c>
      <c r="I71" s="4">
        <v>55</v>
      </c>
      <c r="J71" s="4">
        <v>12</v>
      </c>
      <c r="K71" s="4">
        <v>102</v>
      </c>
      <c r="L71" s="4">
        <v>34</v>
      </c>
      <c r="M71" s="16">
        <v>1</v>
      </c>
    </row>
    <row r="72" spans="1:13" ht="18" customHeight="1" x14ac:dyDescent="0.3">
      <c r="A72" s="13" t="s">
        <v>110</v>
      </c>
      <c r="B72" s="1" t="s">
        <v>40</v>
      </c>
      <c r="C72" s="12" t="s">
        <v>41</v>
      </c>
      <c r="D72" s="1" t="s">
        <v>26</v>
      </c>
      <c r="E72" s="3">
        <v>27</v>
      </c>
      <c r="F72" s="10">
        <v>32.299999999999997</v>
      </c>
      <c r="G72" s="3">
        <v>22.2</v>
      </c>
      <c r="H72" s="1">
        <v>76</v>
      </c>
      <c r="I72" s="1">
        <v>59</v>
      </c>
      <c r="J72" s="1">
        <v>24.4</v>
      </c>
      <c r="K72" s="1">
        <v>239</v>
      </c>
      <c r="L72" s="1">
        <v>47.8</v>
      </c>
      <c r="M72" s="15">
        <v>2</v>
      </c>
    </row>
    <row r="73" spans="1:13" ht="18" customHeight="1" x14ac:dyDescent="0.3">
      <c r="A73" s="14" t="s">
        <v>111</v>
      </c>
      <c r="B73" s="4" t="s">
        <v>44</v>
      </c>
      <c r="C73" s="12" t="s">
        <v>41</v>
      </c>
      <c r="D73" s="4" t="s">
        <v>33</v>
      </c>
      <c r="E73" s="6">
        <v>25</v>
      </c>
      <c r="F73" s="6">
        <v>29.4</v>
      </c>
      <c r="G73" s="6">
        <v>21.8</v>
      </c>
      <c r="H73" s="4">
        <v>149.5</v>
      </c>
      <c r="I73" s="4">
        <v>82</v>
      </c>
      <c r="J73" s="4">
        <v>11.9</v>
      </c>
      <c r="K73" s="4">
        <v>298</v>
      </c>
      <c r="L73" s="4">
        <v>59.6</v>
      </c>
      <c r="M73" s="16">
        <v>2</v>
      </c>
    </row>
    <row r="74" spans="1:13" ht="18" customHeight="1" x14ac:dyDescent="0.3">
      <c r="A74" s="13" t="s">
        <v>112</v>
      </c>
      <c r="B74" s="1" t="s">
        <v>47</v>
      </c>
      <c r="C74" s="12" t="s">
        <v>41</v>
      </c>
      <c r="D74" s="1" t="s">
        <v>23</v>
      </c>
      <c r="E74" s="3">
        <v>22.9</v>
      </c>
      <c r="F74" s="3">
        <v>27.7</v>
      </c>
      <c r="G74" s="8">
        <v>17.7</v>
      </c>
      <c r="H74" s="1">
        <v>99.3</v>
      </c>
      <c r="I74" s="1">
        <v>64</v>
      </c>
      <c r="J74" s="1">
        <v>11.4</v>
      </c>
      <c r="K74" s="1">
        <v>495</v>
      </c>
      <c r="L74" s="1">
        <v>123.8</v>
      </c>
      <c r="M74" s="15">
        <v>4</v>
      </c>
    </row>
    <row r="75" spans="1:13" ht="18" customHeight="1" x14ac:dyDescent="0.3">
      <c r="A75" s="14" t="s">
        <v>113</v>
      </c>
      <c r="B75" s="4" t="s">
        <v>50</v>
      </c>
      <c r="C75" s="2" t="s">
        <v>15</v>
      </c>
      <c r="D75" s="4" t="s">
        <v>38</v>
      </c>
      <c r="E75" s="5">
        <v>18.2</v>
      </c>
      <c r="F75" s="6">
        <v>22.7</v>
      </c>
      <c r="G75" s="5">
        <v>13.6</v>
      </c>
      <c r="H75" s="4">
        <v>19</v>
      </c>
      <c r="I75" s="4">
        <v>47</v>
      </c>
      <c r="J75" s="4">
        <v>10.199999999999999</v>
      </c>
      <c r="K75" s="4">
        <v>318</v>
      </c>
      <c r="L75" s="4">
        <v>79.5</v>
      </c>
      <c r="M75" s="16">
        <v>2</v>
      </c>
    </row>
    <row r="76" spans="1:13" ht="18" customHeight="1" x14ac:dyDescent="0.3">
      <c r="A76" s="13" t="s">
        <v>114</v>
      </c>
      <c r="B76" s="1" t="s">
        <v>21</v>
      </c>
      <c r="C76" s="7" t="s">
        <v>22</v>
      </c>
      <c r="D76" s="1" t="s">
        <v>51</v>
      </c>
      <c r="E76" s="3">
        <v>26.4</v>
      </c>
      <c r="F76" s="10">
        <v>30.4</v>
      </c>
      <c r="G76" s="3">
        <v>21.8</v>
      </c>
      <c r="H76" s="1">
        <v>21.2</v>
      </c>
      <c r="I76" s="1">
        <v>42</v>
      </c>
      <c r="J76" s="1">
        <v>21.7</v>
      </c>
      <c r="K76" s="1">
        <v>204</v>
      </c>
      <c r="L76" s="1">
        <v>51</v>
      </c>
      <c r="M76" s="15">
        <v>2</v>
      </c>
    </row>
    <row r="77" spans="1:13" ht="18" customHeight="1" x14ac:dyDescent="0.3">
      <c r="A77" s="14" t="s">
        <v>115</v>
      </c>
      <c r="B77" s="4" t="s">
        <v>31</v>
      </c>
      <c r="C77" s="11" t="s">
        <v>32</v>
      </c>
      <c r="D77" s="4" t="s">
        <v>42</v>
      </c>
      <c r="E77" s="6">
        <v>28.3</v>
      </c>
      <c r="F77" s="9">
        <v>33.700000000000003</v>
      </c>
      <c r="G77" s="6">
        <v>22.4</v>
      </c>
      <c r="H77" s="4">
        <v>69</v>
      </c>
      <c r="I77" s="4">
        <v>56</v>
      </c>
      <c r="J77" s="4">
        <v>15</v>
      </c>
      <c r="K77" s="4">
        <v>102</v>
      </c>
      <c r="L77" s="4">
        <v>34</v>
      </c>
      <c r="M77" s="16">
        <v>1</v>
      </c>
    </row>
    <row r="78" spans="1:13" ht="18" customHeight="1" x14ac:dyDescent="0.3">
      <c r="A78" s="13" t="s">
        <v>116</v>
      </c>
      <c r="B78" s="1" t="s">
        <v>37</v>
      </c>
      <c r="C78" s="11" t="s">
        <v>32</v>
      </c>
      <c r="D78" s="1" t="s">
        <v>33</v>
      </c>
      <c r="E78" s="10">
        <v>33.299999999999997</v>
      </c>
      <c r="F78" s="10">
        <v>36.5</v>
      </c>
      <c r="G78" s="3">
        <v>27.9</v>
      </c>
      <c r="H78" s="1">
        <v>37.200000000000003</v>
      </c>
      <c r="I78" s="1">
        <v>50</v>
      </c>
      <c r="J78" s="1">
        <v>17.899999999999999</v>
      </c>
      <c r="K78" s="1">
        <v>298</v>
      </c>
      <c r="L78" s="1">
        <v>59.6</v>
      </c>
      <c r="M78" s="15">
        <v>2</v>
      </c>
    </row>
    <row r="79" spans="1:13" ht="18" customHeight="1" x14ac:dyDescent="0.3">
      <c r="A79" s="14" t="s">
        <v>117</v>
      </c>
      <c r="B79" s="4" t="s">
        <v>44</v>
      </c>
      <c r="C79" s="12" t="s">
        <v>41</v>
      </c>
      <c r="D79" s="4" t="s">
        <v>16</v>
      </c>
      <c r="E79" s="6">
        <v>25.7</v>
      </c>
      <c r="F79" s="9">
        <v>30.8</v>
      </c>
      <c r="G79" s="6">
        <v>21.3</v>
      </c>
      <c r="H79" s="4">
        <v>177.4</v>
      </c>
      <c r="I79" s="4">
        <v>88</v>
      </c>
      <c r="J79" s="4">
        <v>27.3</v>
      </c>
      <c r="K79" s="4">
        <v>530</v>
      </c>
      <c r="L79" s="4">
        <v>132.5</v>
      </c>
      <c r="M79" s="16">
        <v>6</v>
      </c>
    </row>
    <row r="80" spans="1:13" ht="18" customHeight="1" x14ac:dyDescent="0.3">
      <c r="A80" s="13" t="s">
        <v>118</v>
      </c>
      <c r="B80" s="1" t="s">
        <v>47</v>
      </c>
      <c r="C80" s="12" t="s">
        <v>41</v>
      </c>
      <c r="D80" s="1" t="s">
        <v>48</v>
      </c>
      <c r="E80" s="3">
        <v>26.2</v>
      </c>
      <c r="F80" s="10">
        <v>30.5</v>
      </c>
      <c r="G80" s="3">
        <v>22.5</v>
      </c>
      <c r="H80" s="1">
        <v>34.5</v>
      </c>
      <c r="I80" s="1">
        <v>49</v>
      </c>
      <c r="J80" s="1">
        <v>26</v>
      </c>
      <c r="K80" s="1">
        <v>53</v>
      </c>
      <c r="L80" s="1">
        <v>13.2</v>
      </c>
      <c r="M80" s="15">
        <v>0</v>
      </c>
    </row>
    <row r="81" spans="1:13" ht="18" customHeight="1" x14ac:dyDescent="0.3">
      <c r="A81" s="20" t="s">
        <v>119</v>
      </c>
      <c r="B81" s="21" t="s">
        <v>50</v>
      </c>
      <c r="C81" s="22" t="s">
        <v>15</v>
      </c>
      <c r="D81" s="21" t="s">
        <v>29</v>
      </c>
      <c r="E81" s="23">
        <v>19.2</v>
      </c>
      <c r="F81" s="24">
        <v>23.4</v>
      </c>
      <c r="G81" s="23">
        <v>15.2</v>
      </c>
      <c r="H81" s="21">
        <v>12.3</v>
      </c>
      <c r="I81" s="21">
        <v>39</v>
      </c>
      <c r="J81" s="21">
        <v>28.1</v>
      </c>
      <c r="K81" s="21">
        <v>319</v>
      </c>
      <c r="L81" s="21">
        <v>79.8</v>
      </c>
      <c r="M81" s="25">
        <v>2</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9A5561-D309-4A27-A3DD-833A4DFC9400}">
  <dimension ref="A1"/>
  <sheetViews>
    <sheetView tabSelected="1" zoomScale="47" zoomScaleNormal="47" workbookViewId="0">
      <selection activeCell="A40" sqref="A40"/>
    </sheetView>
  </sheetViews>
  <sheetFormatPr defaultRowHeight="14.4" x14ac:dyDescent="0.3"/>
  <sheetData/>
  <printOptions horizontalCentered="1" verticalCentered="1"/>
  <pageMargins left="0" right="0" top="0" bottom="0" header="0" footer="0"/>
  <pageSetup paperSize="9" scale="65" orientation="landscape"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2CC6C-A245-456B-974F-BB1887EC7878}">
  <dimension ref="A2:W113"/>
  <sheetViews>
    <sheetView topLeftCell="A27" workbookViewId="0">
      <selection activeCell="J47" sqref="J47"/>
    </sheetView>
  </sheetViews>
  <sheetFormatPr defaultRowHeight="14.4" x14ac:dyDescent="0.3"/>
  <cols>
    <col min="1" max="1" width="12.5546875" bestFit="1" customWidth="1"/>
    <col min="2" max="2" width="23.77734375" bestFit="1" customWidth="1"/>
    <col min="13" max="13" width="12.5546875" bestFit="1" customWidth="1"/>
    <col min="14" max="14" width="14.88671875" bestFit="1" customWidth="1"/>
    <col min="15" max="15" width="12.88671875" customWidth="1"/>
    <col min="17" max="17" width="12.5546875" bestFit="1" customWidth="1"/>
    <col min="18" max="18" width="19.6640625" bestFit="1" customWidth="1"/>
    <col min="19" max="19" width="14.88671875" customWidth="1"/>
    <col min="21" max="21" width="5" customWidth="1"/>
    <col min="22" max="22" width="8" customWidth="1"/>
    <col min="25" max="26" width="22.88671875" bestFit="1" customWidth="1"/>
  </cols>
  <sheetData>
    <row r="2" spans="1:14" x14ac:dyDescent="0.3">
      <c r="A2" s="26" t="s">
        <v>120</v>
      </c>
      <c r="B2" t="s">
        <v>122</v>
      </c>
    </row>
    <row r="3" spans="1:14" x14ac:dyDescent="0.3">
      <c r="A3" s="27" t="s">
        <v>14</v>
      </c>
      <c r="B3">
        <v>131.69999999999999</v>
      </c>
      <c r="M3" s="26" t="s">
        <v>120</v>
      </c>
      <c r="N3" t="s">
        <v>125</v>
      </c>
    </row>
    <row r="4" spans="1:14" x14ac:dyDescent="0.3">
      <c r="A4" s="27" t="s">
        <v>18</v>
      </c>
      <c r="B4">
        <v>160.1</v>
      </c>
      <c r="M4" s="27" t="s">
        <v>41</v>
      </c>
      <c r="N4">
        <v>20</v>
      </c>
    </row>
    <row r="5" spans="1:14" x14ac:dyDescent="0.3">
      <c r="A5" s="27" t="s">
        <v>21</v>
      </c>
      <c r="B5">
        <v>184.6</v>
      </c>
      <c r="M5" s="27" t="s">
        <v>22</v>
      </c>
      <c r="N5">
        <v>19</v>
      </c>
    </row>
    <row r="6" spans="1:14" x14ac:dyDescent="0.3">
      <c r="A6" s="27" t="s">
        <v>25</v>
      </c>
      <c r="B6">
        <v>180.39999999999998</v>
      </c>
      <c r="M6" s="27" t="s">
        <v>32</v>
      </c>
      <c r="N6">
        <v>20</v>
      </c>
    </row>
    <row r="7" spans="1:14" x14ac:dyDescent="0.3">
      <c r="A7" s="27" t="s">
        <v>28</v>
      </c>
      <c r="B7">
        <v>182.4</v>
      </c>
      <c r="M7" s="27" t="s">
        <v>15</v>
      </c>
      <c r="N7">
        <v>21</v>
      </c>
    </row>
    <row r="8" spans="1:14" x14ac:dyDescent="0.3">
      <c r="A8" s="27" t="s">
        <v>31</v>
      </c>
      <c r="B8">
        <v>216.5</v>
      </c>
      <c r="M8" s="27" t="s">
        <v>121</v>
      </c>
      <c r="N8">
        <v>80</v>
      </c>
    </row>
    <row r="9" spans="1:14" x14ac:dyDescent="0.3">
      <c r="A9" s="27" t="s">
        <v>35</v>
      </c>
      <c r="B9">
        <v>179.5</v>
      </c>
    </row>
    <row r="10" spans="1:14" x14ac:dyDescent="0.3">
      <c r="A10" s="27" t="s">
        <v>37</v>
      </c>
      <c r="B10">
        <v>213.90000000000003</v>
      </c>
    </row>
    <row r="11" spans="1:14" x14ac:dyDescent="0.3">
      <c r="A11" s="27" t="s">
        <v>40</v>
      </c>
      <c r="B11">
        <v>165.3</v>
      </c>
    </row>
    <row r="12" spans="1:14" x14ac:dyDescent="0.3">
      <c r="A12" s="27" t="s">
        <v>44</v>
      </c>
      <c r="B12">
        <v>171.7</v>
      </c>
    </row>
    <row r="13" spans="1:14" x14ac:dyDescent="0.3">
      <c r="A13" s="27" t="s">
        <v>47</v>
      </c>
      <c r="B13">
        <v>166.6</v>
      </c>
      <c r="M13" s="32"/>
      <c r="N13" s="32"/>
    </row>
    <row r="14" spans="1:14" x14ac:dyDescent="0.3">
      <c r="A14" s="27" t="s">
        <v>50</v>
      </c>
      <c r="B14">
        <v>133.4</v>
      </c>
      <c r="M14" s="33"/>
      <c r="N14" s="34"/>
    </row>
    <row r="15" spans="1:14" x14ac:dyDescent="0.3">
      <c r="A15" s="27" t="s">
        <v>121</v>
      </c>
      <c r="B15">
        <v>2086.1</v>
      </c>
      <c r="M15" s="26" t="s">
        <v>120</v>
      </c>
      <c r="N15" t="s">
        <v>122</v>
      </c>
    </row>
    <row r="16" spans="1:14" x14ac:dyDescent="0.3">
      <c r="M16" s="27">
        <v>38</v>
      </c>
      <c r="N16">
        <v>36</v>
      </c>
    </row>
    <row r="17" spans="1:23" x14ac:dyDescent="0.3">
      <c r="M17" s="27">
        <v>39</v>
      </c>
      <c r="N17">
        <v>19.2</v>
      </c>
    </row>
    <row r="18" spans="1:23" x14ac:dyDescent="0.3">
      <c r="A18" s="26" t="s">
        <v>120</v>
      </c>
      <c r="B18" t="s">
        <v>123</v>
      </c>
      <c r="M18" s="27">
        <v>42</v>
      </c>
      <c r="N18">
        <v>101.19999999999999</v>
      </c>
    </row>
    <row r="19" spans="1:23" x14ac:dyDescent="0.3">
      <c r="A19" s="27" t="s">
        <v>23</v>
      </c>
      <c r="B19">
        <v>657</v>
      </c>
      <c r="M19" s="27">
        <v>43</v>
      </c>
      <c r="N19">
        <v>51.4</v>
      </c>
    </row>
    <row r="20" spans="1:23" x14ac:dyDescent="0.3">
      <c r="A20" s="27" t="s">
        <v>48</v>
      </c>
      <c r="B20">
        <v>343</v>
      </c>
      <c r="M20" s="27">
        <v>44</v>
      </c>
      <c r="N20">
        <v>54.2</v>
      </c>
    </row>
    <row r="21" spans="1:23" x14ac:dyDescent="0.3">
      <c r="A21" s="27" t="s">
        <v>51</v>
      </c>
      <c r="B21">
        <v>432</v>
      </c>
      <c r="M21" s="27">
        <v>45</v>
      </c>
      <c r="N21">
        <v>38</v>
      </c>
    </row>
    <row r="22" spans="1:23" x14ac:dyDescent="0.3">
      <c r="A22" s="27" t="s">
        <v>16</v>
      </c>
      <c r="B22">
        <v>781</v>
      </c>
      <c r="M22" s="27">
        <v>47</v>
      </c>
      <c r="N22">
        <v>47.9</v>
      </c>
      <c r="V22" s="32"/>
      <c r="W22" s="32"/>
    </row>
    <row r="23" spans="1:23" x14ac:dyDescent="0.3">
      <c r="A23" s="27" t="s">
        <v>26</v>
      </c>
      <c r="B23">
        <v>439</v>
      </c>
      <c r="M23" s="27">
        <v>48</v>
      </c>
      <c r="N23">
        <v>39.700000000000003</v>
      </c>
      <c r="V23" s="33"/>
      <c r="W23" s="34"/>
    </row>
    <row r="24" spans="1:23" x14ac:dyDescent="0.3">
      <c r="A24" s="27" t="s">
        <v>38</v>
      </c>
      <c r="B24">
        <v>545</v>
      </c>
      <c r="M24" s="27">
        <v>49</v>
      </c>
      <c r="N24">
        <v>26.2</v>
      </c>
      <c r="V24" s="35"/>
      <c r="W24" s="34"/>
    </row>
    <row r="25" spans="1:23" x14ac:dyDescent="0.3">
      <c r="A25" s="27" t="s">
        <v>45</v>
      </c>
      <c r="B25">
        <v>185</v>
      </c>
      <c r="M25" s="27">
        <v>50</v>
      </c>
      <c r="N25">
        <v>116.39999999999999</v>
      </c>
      <c r="V25" s="33"/>
      <c r="W25" s="34"/>
    </row>
    <row r="26" spans="1:23" x14ac:dyDescent="0.3">
      <c r="A26" s="27" t="s">
        <v>19</v>
      </c>
      <c r="B26">
        <v>258</v>
      </c>
      <c r="M26" s="27">
        <v>52</v>
      </c>
      <c r="N26">
        <v>58.9</v>
      </c>
      <c r="V26" s="36"/>
      <c r="W26" s="34"/>
    </row>
    <row r="27" spans="1:23" x14ac:dyDescent="0.3">
      <c r="A27" s="27" t="s">
        <v>33</v>
      </c>
      <c r="B27">
        <v>595</v>
      </c>
      <c r="M27" s="27">
        <v>55</v>
      </c>
      <c r="N27">
        <v>135.30000000000001</v>
      </c>
      <c r="V27" s="36"/>
      <c r="W27" s="34"/>
    </row>
    <row r="28" spans="1:23" x14ac:dyDescent="0.3">
      <c r="A28" s="27" t="s">
        <v>42</v>
      </c>
      <c r="B28">
        <v>366</v>
      </c>
      <c r="M28" s="27">
        <v>56</v>
      </c>
      <c r="N28">
        <v>28.3</v>
      </c>
      <c r="V28" s="36"/>
      <c r="W28" s="34"/>
    </row>
    <row r="29" spans="1:23" x14ac:dyDescent="0.3">
      <c r="A29" s="27" t="s">
        <v>29</v>
      </c>
      <c r="B29">
        <v>521</v>
      </c>
      <c r="M29" s="27">
        <v>57</v>
      </c>
      <c r="N29">
        <v>22.5</v>
      </c>
      <c r="V29" s="33"/>
      <c r="W29" s="34"/>
    </row>
    <row r="30" spans="1:23" x14ac:dyDescent="0.3">
      <c r="A30" s="27" t="s">
        <v>121</v>
      </c>
      <c r="B30">
        <v>5122</v>
      </c>
      <c r="M30" s="27">
        <v>58</v>
      </c>
      <c r="N30">
        <v>69</v>
      </c>
      <c r="V30" s="36"/>
      <c r="W30" s="34"/>
    </row>
    <row r="31" spans="1:23" x14ac:dyDescent="0.3">
      <c r="M31" s="27">
        <v>59</v>
      </c>
      <c r="N31">
        <v>27</v>
      </c>
      <c r="V31" s="33"/>
      <c r="W31" s="34"/>
    </row>
    <row r="32" spans="1:23" x14ac:dyDescent="0.3">
      <c r="M32" s="27">
        <v>60</v>
      </c>
      <c r="N32">
        <v>81</v>
      </c>
      <c r="V32" s="33"/>
      <c r="W32" s="34"/>
    </row>
    <row r="33" spans="1:23" x14ac:dyDescent="0.3">
      <c r="A33" s="26" t="s">
        <v>120</v>
      </c>
      <c r="B33" t="s">
        <v>124</v>
      </c>
      <c r="M33" s="27">
        <v>62</v>
      </c>
      <c r="N33">
        <v>53.6</v>
      </c>
      <c r="O33" s="53"/>
      <c r="Q33" s="32"/>
      <c r="R33" s="45" t="s">
        <v>3</v>
      </c>
      <c r="S33" s="46" t="s">
        <v>4</v>
      </c>
      <c r="V33" s="33"/>
      <c r="W33" s="34"/>
    </row>
    <row r="34" spans="1:23" x14ac:dyDescent="0.3">
      <c r="A34" s="27" t="s">
        <v>14</v>
      </c>
      <c r="B34">
        <v>2728</v>
      </c>
      <c r="M34" s="27">
        <v>63</v>
      </c>
      <c r="N34">
        <v>49.3</v>
      </c>
      <c r="O34" s="53"/>
      <c r="Q34" s="34"/>
      <c r="R34" s="37" t="s">
        <v>16</v>
      </c>
      <c r="S34" s="39">
        <v>24</v>
      </c>
      <c r="V34" s="33"/>
      <c r="W34" s="34"/>
    </row>
    <row r="35" spans="1:23" x14ac:dyDescent="0.3">
      <c r="A35" s="27" t="s">
        <v>18</v>
      </c>
      <c r="B35">
        <v>1398</v>
      </c>
      <c r="M35" s="27">
        <v>64</v>
      </c>
      <c r="N35">
        <v>46.9</v>
      </c>
      <c r="O35" s="53"/>
      <c r="Q35" s="34"/>
      <c r="R35" s="38" t="s">
        <v>19</v>
      </c>
      <c r="S35" s="40">
        <v>18</v>
      </c>
      <c r="V35" s="33"/>
      <c r="W35" s="34"/>
    </row>
    <row r="36" spans="1:23" x14ac:dyDescent="0.3">
      <c r="A36" s="27" t="s">
        <v>21</v>
      </c>
      <c r="B36">
        <v>1925</v>
      </c>
      <c r="M36" s="27">
        <v>65</v>
      </c>
      <c r="N36">
        <v>76</v>
      </c>
      <c r="O36" s="53"/>
      <c r="Q36" s="34"/>
      <c r="R36" s="37" t="s">
        <v>23</v>
      </c>
      <c r="S36" s="39">
        <v>22</v>
      </c>
      <c r="V36" s="33"/>
      <c r="W36" s="34"/>
    </row>
    <row r="37" spans="1:23" x14ac:dyDescent="0.3">
      <c r="A37" s="27" t="s">
        <v>25</v>
      </c>
      <c r="B37">
        <v>1696</v>
      </c>
      <c r="M37" s="27">
        <v>68</v>
      </c>
      <c r="N37">
        <v>52</v>
      </c>
      <c r="O37" s="53"/>
      <c r="Q37" s="34"/>
      <c r="R37" s="38" t="s">
        <v>26</v>
      </c>
      <c r="S37" s="41">
        <v>32</v>
      </c>
      <c r="V37" s="33"/>
      <c r="W37" s="34"/>
    </row>
    <row r="38" spans="1:23" x14ac:dyDescent="0.3">
      <c r="A38" s="27" t="s">
        <v>28</v>
      </c>
      <c r="B38">
        <v>1661</v>
      </c>
      <c r="M38" s="27">
        <v>69</v>
      </c>
      <c r="N38">
        <v>32.6</v>
      </c>
      <c r="O38" s="53"/>
      <c r="Q38" s="34"/>
      <c r="R38" s="37" t="s">
        <v>29</v>
      </c>
      <c r="S38" s="42">
        <v>30</v>
      </c>
      <c r="V38" s="36"/>
      <c r="W38" s="34"/>
    </row>
    <row r="39" spans="1:23" x14ac:dyDescent="0.3">
      <c r="A39" s="27" t="s">
        <v>31</v>
      </c>
      <c r="B39">
        <v>2001</v>
      </c>
      <c r="M39" s="27">
        <v>70</v>
      </c>
      <c r="N39">
        <v>73</v>
      </c>
      <c r="O39" s="53"/>
      <c r="Q39" s="34"/>
      <c r="R39" s="38" t="s">
        <v>33</v>
      </c>
      <c r="S39" s="41">
        <v>34</v>
      </c>
      <c r="V39" s="36"/>
      <c r="W39" s="34"/>
    </row>
    <row r="40" spans="1:23" x14ac:dyDescent="0.3">
      <c r="A40" s="27" t="s">
        <v>35</v>
      </c>
      <c r="B40">
        <v>1944</v>
      </c>
      <c r="M40" s="27">
        <v>72</v>
      </c>
      <c r="N40">
        <v>66</v>
      </c>
      <c r="O40" s="53"/>
      <c r="Q40" s="34"/>
      <c r="R40" s="37" t="s">
        <v>16</v>
      </c>
      <c r="S40" s="39">
        <v>28</v>
      </c>
      <c r="V40" s="30"/>
      <c r="W40" s="28"/>
    </row>
    <row r="41" spans="1:23" x14ac:dyDescent="0.3">
      <c r="A41" s="27" t="s">
        <v>37</v>
      </c>
      <c r="B41">
        <v>2379</v>
      </c>
      <c r="M41" s="27">
        <v>74</v>
      </c>
      <c r="N41">
        <v>50</v>
      </c>
      <c r="O41" s="53"/>
      <c r="Q41" s="34"/>
      <c r="R41" s="38" t="s">
        <v>38</v>
      </c>
      <c r="S41" s="41">
        <v>31</v>
      </c>
    </row>
    <row r="42" spans="1:23" x14ac:dyDescent="0.3">
      <c r="A42" s="27" t="s">
        <v>40</v>
      </c>
      <c r="B42">
        <v>1518</v>
      </c>
      <c r="M42" s="27">
        <v>76</v>
      </c>
      <c r="N42">
        <v>55.3</v>
      </c>
      <c r="O42" s="53"/>
      <c r="Q42" s="34"/>
      <c r="R42" s="37" t="s">
        <v>42</v>
      </c>
      <c r="S42" s="39">
        <v>29</v>
      </c>
      <c r="V42" s="31"/>
      <c r="W42" s="28"/>
    </row>
    <row r="43" spans="1:23" x14ac:dyDescent="0.3">
      <c r="A43" s="27" t="s">
        <v>44</v>
      </c>
      <c r="B43">
        <v>1173</v>
      </c>
      <c r="M43" s="27">
        <v>78</v>
      </c>
      <c r="N43">
        <v>77</v>
      </c>
      <c r="O43" s="53"/>
      <c r="Q43" s="34"/>
      <c r="R43" s="38" t="s">
        <v>45</v>
      </c>
      <c r="S43" s="43">
        <v>22</v>
      </c>
      <c r="V43" s="33"/>
      <c r="W43" s="34"/>
    </row>
    <row r="44" spans="1:23" x14ac:dyDescent="0.3">
      <c r="A44" s="27" t="s">
        <v>47</v>
      </c>
      <c r="B44">
        <v>1750</v>
      </c>
      <c r="M44" s="27">
        <v>79</v>
      </c>
      <c r="N44">
        <v>24.5</v>
      </c>
      <c r="O44" s="53"/>
      <c r="Q44" s="34"/>
      <c r="R44" s="37" t="s">
        <v>48</v>
      </c>
      <c r="S44" s="39">
        <v>26</v>
      </c>
      <c r="V44" s="33"/>
      <c r="W44" s="34"/>
    </row>
    <row r="45" spans="1:23" x14ac:dyDescent="0.3">
      <c r="A45" s="27" t="s">
        <v>50</v>
      </c>
      <c r="B45">
        <v>1789</v>
      </c>
      <c r="M45" s="27">
        <v>80</v>
      </c>
      <c r="N45">
        <v>85</v>
      </c>
      <c r="O45" s="53"/>
      <c r="Q45" s="34"/>
      <c r="R45" s="38" t="s">
        <v>51</v>
      </c>
      <c r="S45" s="43">
        <v>20</v>
      </c>
      <c r="V45" s="33"/>
      <c r="W45" s="34"/>
    </row>
    <row r="46" spans="1:23" x14ac:dyDescent="0.3">
      <c r="A46" s="27" t="s">
        <v>121</v>
      </c>
      <c r="B46">
        <v>21962</v>
      </c>
      <c r="M46" s="27">
        <v>82</v>
      </c>
      <c r="N46">
        <v>78</v>
      </c>
      <c r="O46" s="53"/>
      <c r="Q46" s="34"/>
      <c r="R46" s="37" t="s">
        <v>23</v>
      </c>
      <c r="S46" s="39">
        <v>21</v>
      </c>
      <c r="V46" s="33"/>
      <c r="W46" s="34"/>
    </row>
    <row r="47" spans="1:23" x14ac:dyDescent="0.3">
      <c r="M47" s="27">
        <v>83</v>
      </c>
      <c r="N47">
        <v>30</v>
      </c>
      <c r="O47" s="53"/>
      <c r="Q47" s="34"/>
      <c r="R47" s="38" t="s">
        <v>16</v>
      </c>
      <c r="S47" s="43">
        <v>26</v>
      </c>
      <c r="V47" s="35"/>
      <c r="W47" s="34"/>
    </row>
    <row r="48" spans="1:23" x14ac:dyDescent="0.3">
      <c r="M48" s="27">
        <v>84</v>
      </c>
      <c r="N48">
        <v>30</v>
      </c>
      <c r="O48" s="53"/>
      <c r="Q48" s="34"/>
      <c r="R48" s="37" t="s">
        <v>19</v>
      </c>
      <c r="S48" s="39">
        <v>24</v>
      </c>
      <c r="V48" s="33"/>
      <c r="W48" s="34"/>
    </row>
    <row r="49" spans="1:23" x14ac:dyDescent="0.3">
      <c r="A49" t="s">
        <v>126</v>
      </c>
      <c r="M49" s="27">
        <v>85</v>
      </c>
      <c r="N49">
        <v>31</v>
      </c>
      <c r="O49" s="53"/>
      <c r="Q49" s="34"/>
      <c r="R49" s="38" t="s">
        <v>33</v>
      </c>
      <c r="S49" s="41">
        <v>33</v>
      </c>
      <c r="V49" s="33"/>
      <c r="W49" s="34"/>
    </row>
    <row r="50" spans="1:23" x14ac:dyDescent="0.3">
      <c r="A50">
        <v>26.076249999999998</v>
      </c>
      <c r="M50" s="27">
        <v>86</v>
      </c>
      <c r="N50">
        <v>30</v>
      </c>
      <c r="O50" s="53"/>
      <c r="Q50" s="34"/>
      <c r="R50" s="37" t="s">
        <v>38</v>
      </c>
      <c r="S50" s="42">
        <v>32</v>
      </c>
      <c r="V50" s="33"/>
      <c r="W50" s="34"/>
    </row>
    <row r="51" spans="1:23" x14ac:dyDescent="0.3">
      <c r="M51" s="27">
        <v>88</v>
      </c>
      <c r="N51">
        <v>81.7</v>
      </c>
      <c r="O51" s="53"/>
      <c r="Q51" s="34"/>
      <c r="R51" s="38" t="s">
        <v>29</v>
      </c>
      <c r="S51" s="41">
        <v>30</v>
      </c>
      <c r="V51" s="36"/>
      <c r="W51" s="34"/>
    </row>
    <row r="52" spans="1:23" x14ac:dyDescent="0.3">
      <c r="A52" t="s">
        <v>127</v>
      </c>
      <c r="M52" s="27">
        <v>90</v>
      </c>
      <c r="N52">
        <v>56</v>
      </c>
      <c r="O52" s="53"/>
      <c r="Q52" s="34"/>
      <c r="R52" s="37" t="s">
        <v>26</v>
      </c>
      <c r="S52" s="39">
        <v>27</v>
      </c>
      <c r="V52" s="33"/>
      <c r="W52" s="34"/>
    </row>
    <row r="53" spans="1:23" x14ac:dyDescent="0.3">
      <c r="A53">
        <v>64.025000000000006</v>
      </c>
      <c r="M53" s="27">
        <v>92</v>
      </c>
      <c r="N53">
        <v>56</v>
      </c>
      <c r="O53" s="53"/>
      <c r="Q53" s="34"/>
      <c r="R53" s="38" t="s">
        <v>23</v>
      </c>
      <c r="S53" s="43">
        <v>29</v>
      </c>
      <c r="V53" s="33"/>
      <c r="W53" s="34"/>
    </row>
    <row r="54" spans="1:23" x14ac:dyDescent="0.3">
      <c r="M54" s="27" t="s">
        <v>121</v>
      </c>
      <c r="N54">
        <v>2086.1</v>
      </c>
      <c r="O54" s="53"/>
      <c r="Q54" s="34"/>
      <c r="R54" s="37" t="s">
        <v>51</v>
      </c>
      <c r="S54" s="39">
        <v>28</v>
      </c>
      <c r="V54" s="33"/>
      <c r="W54" s="34"/>
    </row>
    <row r="55" spans="1:23" x14ac:dyDescent="0.3">
      <c r="A55" t="s">
        <v>124</v>
      </c>
      <c r="M55" s="33"/>
      <c r="N55" s="34"/>
      <c r="O55" s="53"/>
      <c r="Q55" s="34"/>
      <c r="R55" s="38" t="s">
        <v>42</v>
      </c>
      <c r="S55" s="43">
        <v>24</v>
      </c>
      <c r="V55" s="33"/>
      <c r="W55" s="34"/>
    </row>
    <row r="56" spans="1:23" x14ac:dyDescent="0.3">
      <c r="A56">
        <v>21962</v>
      </c>
      <c r="M56" s="33"/>
      <c r="N56" s="34"/>
      <c r="O56" s="53"/>
      <c r="Q56" s="34"/>
      <c r="R56" s="37" t="s">
        <v>45</v>
      </c>
      <c r="S56" s="39">
        <v>20</v>
      </c>
      <c r="V56" s="33"/>
      <c r="W56" s="34"/>
    </row>
    <row r="57" spans="1:23" x14ac:dyDescent="0.3">
      <c r="M57" s="36"/>
      <c r="N57" s="34"/>
      <c r="O57" s="53"/>
      <c r="Q57" s="34"/>
      <c r="R57" s="38" t="s">
        <v>48</v>
      </c>
      <c r="S57" s="43">
        <v>22</v>
      </c>
      <c r="V57" s="35"/>
      <c r="W57" s="34"/>
    </row>
    <row r="58" spans="1:23" x14ac:dyDescent="0.3">
      <c r="A58" t="s">
        <v>128</v>
      </c>
      <c r="M58" s="33"/>
      <c r="N58" s="34"/>
      <c r="O58" s="53"/>
      <c r="Q58" s="34"/>
      <c r="R58" s="37" t="s">
        <v>29</v>
      </c>
      <c r="S58" s="44">
        <v>19</v>
      </c>
      <c r="V58" s="33"/>
      <c r="W58" s="34"/>
    </row>
    <row r="59" spans="1:23" x14ac:dyDescent="0.3">
      <c r="A59">
        <v>18.180000000000007</v>
      </c>
      <c r="M59" s="33"/>
      <c r="N59" s="34"/>
      <c r="O59" s="53"/>
      <c r="Q59" s="34"/>
      <c r="R59" s="38" t="s">
        <v>38</v>
      </c>
      <c r="S59" s="43">
        <v>22</v>
      </c>
      <c r="V59" s="33"/>
      <c r="W59" s="34"/>
    </row>
    <row r="60" spans="1:23" x14ac:dyDescent="0.3">
      <c r="M60" s="33"/>
      <c r="N60" s="34"/>
      <c r="O60" s="53"/>
      <c r="Q60" s="34"/>
      <c r="R60" s="37" t="s">
        <v>16</v>
      </c>
      <c r="S60" s="39">
        <v>28</v>
      </c>
      <c r="V60" s="33"/>
      <c r="W60" s="34"/>
    </row>
    <row r="61" spans="1:23" x14ac:dyDescent="0.3">
      <c r="M61" s="35"/>
      <c r="N61" s="34"/>
      <c r="O61" s="53"/>
      <c r="Q61" s="34"/>
      <c r="R61" s="38" t="s">
        <v>23</v>
      </c>
      <c r="S61" s="43">
        <v>25</v>
      </c>
      <c r="V61" s="36"/>
      <c r="W61" s="34"/>
    </row>
    <row r="62" spans="1:23" x14ac:dyDescent="0.3">
      <c r="M62" s="33"/>
      <c r="N62" s="34"/>
      <c r="O62" s="53"/>
      <c r="Q62" s="34"/>
      <c r="R62" s="37" t="s">
        <v>19</v>
      </c>
      <c r="S62" s="42">
        <v>36</v>
      </c>
      <c r="V62" s="33"/>
      <c r="W62" s="34"/>
    </row>
    <row r="63" spans="1:23" x14ac:dyDescent="0.3">
      <c r="M63" s="33"/>
      <c r="N63" s="34"/>
      <c r="O63" s="53"/>
      <c r="Q63" s="34"/>
      <c r="R63" s="38" t="s">
        <v>51</v>
      </c>
      <c r="S63" s="43">
        <v>29</v>
      </c>
      <c r="V63" s="33"/>
      <c r="W63" s="34"/>
    </row>
    <row r="64" spans="1:23" x14ac:dyDescent="0.3">
      <c r="M64" s="33"/>
      <c r="N64" s="34"/>
      <c r="O64" s="53"/>
      <c r="Q64" s="34"/>
      <c r="R64" s="37" t="s">
        <v>33</v>
      </c>
      <c r="S64" s="42">
        <v>30</v>
      </c>
      <c r="V64" s="33"/>
      <c r="W64" s="34"/>
    </row>
    <row r="65" spans="13:23" x14ac:dyDescent="0.3">
      <c r="M65" s="33"/>
      <c r="N65" s="34"/>
      <c r="O65" s="53"/>
      <c r="Q65" s="34"/>
      <c r="R65" s="38" t="s">
        <v>16</v>
      </c>
      <c r="S65" s="43">
        <v>27</v>
      </c>
      <c r="V65" s="33"/>
      <c r="W65" s="34"/>
    </row>
    <row r="66" spans="13:23" x14ac:dyDescent="0.3">
      <c r="M66" s="33"/>
      <c r="N66" s="34"/>
      <c r="O66" s="53"/>
      <c r="Q66" s="34"/>
      <c r="R66" s="37" t="s">
        <v>26</v>
      </c>
      <c r="S66" s="39">
        <v>29</v>
      </c>
      <c r="V66" s="33"/>
      <c r="W66" s="34"/>
    </row>
    <row r="67" spans="13:23" x14ac:dyDescent="0.3">
      <c r="M67" s="33"/>
      <c r="N67" s="34"/>
      <c r="O67" s="53"/>
      <c r="Q67" s="34"/>
      <c r="R67" s="38" t="s">
        <v>48</v>
      </c>
      <c r="S67" s="43">
        <v>28</v>
      </c>
      <c r="V67" s="33"/>
      <c r="W67" s="34"/>
    </row>
    <row r="68" spans="13:23" x14ac:dyDescent="0.3">
      <c r="M68" s="33"/>
      <c r="N68" s="34"/>
      <c r="O68" s="53"/>
      <c r="Q68" s="34"/>
      <c r="R68" s="37" t="s">
        <v>29</v>
      </c>
      <c r="S68" s="39">
        <v>23</v>
      </c>
      <c r="V68" s="33"/>
      <c r="W68" s="34"/>
    </row>
    <row r="69" spans="13:23" x14ac:dyDescent="0.3">
      <c r="M69" s="36"/>
      <c r="N69" s="34"/>
      <c r="O69" s="53"/>
      <c r="Q69" s="34"/>
      <c r="R69" s="38" t="s">
        <v>42</v>
      </c>
      <c r="S69" s="40">
        <v>14</v>
      </c>
      <c r="V69" s="33"/>
      <c r="W69" s="34"/>
    </row>
    <row r="70" spans="13:23" x14ac:dyDescent="0.3">
      <c r="M70" s="36"/>
      <c r="N70" s="34"/>
      <c r="O70" s="53"/>
      <c r="Q70" s="34"/>
      <c r="R70" s="37" t="s">
        <v>45</v>
      </c>
      <c r="S70" s="44">
        <v>12</v>
      </c>
      <c r="V70" s="35"/>
      <c r="W70" s="34"/>
    </row>
    <row r="71" spans="13:23" x14ac:dyDescent="0.3">
      <c r="M71" s="36"/>
      <c r="N71" s="34"/>
      <c r="O71" s="53"/>
      <c r="Q71" s="34"/>
      <c r="R71" s="38" t="s">
        <v>51</v>
      </c>
      <c r="S71" s="43">
        <v>24</v>
      </c>
      <c r="V71" s="33"/>
      <c r="W71" s="34"/>
    </row>
    <row r="72" spans="13:23" x14ac:dyDescent="0.3">
      <c r="M72" s="33"/>
      <c r="N72" s="34"/>
      <c r="O72" s="53"/>
      <c r="Q72" s="34"/>
      <c r="R72" s="37" t="s">
        <v>48</v>
      </c>
      <c r="S72" s="39">
        <v>28</v>
      </c>
      <c r="V72" s="33"/>
      <c r="W72" s="34"/>
    </row>
    <row r="73" spans="13:23" x14ac:dyDescent="0.3">
      <c r="M73" s="33"/>
      <c r="N73" s="34"/>
      <c r="O73" s="53"/>
      <c r="Q73" s="34"/>
      <c r="R73" s="38" t="s">
        <v>38</v>
      </c>
      <c r="S73" s="41">
        <v>33</v>
      </c>
      <c r="V73" s="33"/>
      <c r="W73" s="34"/>
    </row>
    <row r="74" spans="13:23" x14ac:dyDescent="0.3">
      <c r="M74" s="33"/>
      <c r="N74" s="34"/>
      <c r="O74" s="53"/>
      <c r="Q74" s="34"/>
      <c r="R74" s="37" t="s">
        <v>33</v>
      </c>
      <c r="S74" s="42">
        <v>35</v>
      </c>
      <c r="V74" s="36"/>
      <c r="W74" s="34"/>
    </row>
    <row r="75" spans="13:23" x14ac:dyDescent="0.3">
      <c r="M75" s="33"/>
      <c r="N75" s="34"/>
      <c r="O75" s="53"/>
      <c r="Q75" s="34"/>
      <c r="R75" s="38" t="s">
        <v>23</v>
      </c>
      <c r="S75" s="43">
        <v>28</v>
      </c>
      <c r="V75" s="33"/>
      <c r="W75" s="34"/>
    </row>
    <row r="76" spans="13:23" x14ac:dyDescent="0.3">
      <c r="M76" s="35"/>
      <c r="N76" s="34"/>
      <c r="O76" s="53"/>
      <c r="Q76" s="34"/>
      <c r="R76" s="37" t="s">
        <v>29</v>
      </c>
      <c r="S76" s="39">
        <v>29</v>
      </c>
      <c r="V76" s="31"/>
      <c r="W76" s="28"/>
    </row>
    <row r="77" spans="13:23" x14ac:dyDescent="0.3">
      <c r="M77" s="33"/>
      <c r="N77" s="34"/>
      <c r="O77" s="53"/>
      <c r="Q77" s="34"/>
      <c r="R77" s="38" t="s">
        <v>38</v>
      </c>
      <c r="S77" s="41">
        <v>30</v>
      </c>
      <c r="V77" s="33"/>
      <c r="W77" s="34"/>
    </row>
    <row r="78" spans="13:23" x14ac:dyDescent="0.3">
      <c r="M78" s="33"/>
      <c r="N78" s="34"/>
      <c r="O78" s="53"/>
      <c r="Q78" s="34"/>
      <c r="R78" s="37" t="s">
        <v>16</v>
      </c>
      <c r="S78" s="39">
        <v>27</v>
      </c>
      <c r="V78" s="36"/>
      <c r="W78" s="34"/>
    </row>
    <row r="79" spans="13:23" x14ac:dyDescent="0.3">
      <c r="M79" s="36"/>
      <c r="N79" s="34"/>
      <c r="O79" s="53"/>
      <c r="Q79" s="34"/>
      <c r="R79" s="38" t="s">
        <v>19</v>
      </c>
      <c r="S79" s="43">
        <v>26</v>
      </c>
      <c r="V79" s="36"/>
      <c r="W79" s="34"/>
    </row>
    <row r="80" spans="13:23" x14ac:dyDescent="0.3">
      <c r="M80" s="33"/>
      <c r="N80" s="34"/>
      <c r="O80" s="53"/>
      <c r="Q80" s="34"/>
      <c r="R80" s="37" t="s">
        <v>26</v>
      </c>
      <c r="S80" s="39">
        <v>24</v>
      </c>
      <c r="V80" s="36"/>
      <c r="W80" s="34"/>
    </row>
    <row r="81" spans="13:23" x14ac:dyDescent="0.3">
      <c r="M81" s="36"/>
      <c r="N81" s="34"/>
      <c r="O81" s="53"/>
      <c r="Q81" s="34"/>
      <c r="R81" s="38" t="s">
        <v>23</v>
      </c>
      <c r="S81" s="40">
        <v>18</v>
      </c>
      <c r="V81" s="33"/>
      <c r="W81" s="34"/>
    </row>
    <row r="82" spans="13:23" x14ac:dyDescent="0.3">
      <c r="M82" s="36"/>
      <c r="N82" s="34"/>
      <c r="O82" s="53"/>
      <c r="Q82" s="34"/>
      <c r="R82" s="37" t="s">
        <v>33</v>
      </c>
      <c r="S82" s="39">
        <v>22</v>
      </c>
      <c r="V82" s="33"/>
      <c r="W82" s="34"/>
    </row>
    <row r="83" spans="13:23" x14ac:dyDescent="0.3">
      <c r="M83" s="33"/>
      <c r="N83" s="34"/>
      <c r="O83" s="53"/>
      <c r="Q83" s="34"/>
      <c r="R83" s="38" t="s">
        <v>26</v>
      </c>
      <c r="S83" s="43">
        <v>26</v>
      </c>
      <c r="V83" s="33"/>
      <c r="W83" s="34"/>
    </row>
    <row r="84" spans="13:23" x14ac:dyDescent="0.3">
      <c r="M84" s="33"/>
      <c r="N84" s="34"/>
      <c r="O84" s="53"/>
      <c r="Q84" s="34"/>
      <c r="R84" s="37" t="s">
        <v>16</v>
      </c>
      <c r="S84" s="39">
        <v>20</v>
      </c>
      <c r="V84" s="33"/>
      <c r="W84" s="34"/>
    </row>
    <row r="85" spans="13:23" x14ac:dyDescent="0.3">
      <c r="M85" s="33"/>
      <c r="N85" s="34"/>
      <c r="O85" s="53"/>
      <c r="Q85" s="34"/>
      <c r="R85" s="38" t="s">
        <v>19</v>
      </c>
      <c r="S85" s="43">
        <v>23.9</v>
      </c>
      <c r="V85" s="35"/>
      <c r="W85" s="34"/>
    </row>
    <row r="86" spans="13:23" x14ac:dyDescent="0.3">
      <c r="M86" s="33"/>
      <c r="N86" s="34"/>
      <c r="O86" s="53"/>
      <c r="Q86" s="34"/>
      <c r="R86" s="37" t="s">
        <v>33</v>
      </c>
      <c r="S86" s="39">
        <v>29.7</v>
      </c>
      <c r="V86" s="33"/>
      <c r="W86" s="34"/>
    </row>
    <row r="87" spans="13:23" x14ac:dyDescent="0.3">
      <c r="M87" s="35"/>
      <c r="N87" s="34"/>
      <c r="O87" s="53"/>
      <c r="Q87" s="34"/>
      <c r="R87" s="38" t="s">
        <v>29</v>
      </c>
      <c r="S87" s="43">
        <v>26.2</v>
      </c>
      <c r="V87" s="33"/>
      <c r="W87" s="34"/>
    </row>
    <row r="88" spans="13:23" x14ac:dyDescent="0.3">
      <c r="M88" s="33"/>
      <c r="N88" s="34"/>
      <c r="O88" s="53"/>
      <c r="Q88" s="34"/>
      <c r="R88" s="37" t="s">
        <v>23</v>
      </c>
      <c r="S88" s="39">
        <v>22.5</v>
      </c>
      <c r="V88" s="36"/>
      <c r="W88" s="34"/>
    </row>
    <row r="89" spans="13:23" x14ac:dyDescent="0.3">
      <c r="M89" s="33"/>
      <c r="N89" s="34"/>
      <c r="O89" s="53"/>
      <c r="Q89" s="34"/>
      <c r="R89" s="38" t="s">
        <v>48</v>
      </c>
      <c r="S89" s="41">
        <v>34.6</v>
      </c>
      <c r="V89" s="33"/>
      <c r="W89" s="34"/>
    </row>
    <row r="90" spans="13:23" x14ac:dyDescent="0.3">
      <c r="M90" s="36"/>
      <c r="N90" s="34"/>
      <c r="O90" s="53"/>
      <c r="Q90" s="34"/>
      <c r="R90" s="37" t="s">
        <v>26</v>
      </c>
      <c r="S90" s="42">
        <v>32.9</v>
      </c>
      <c r="V90" s="36"/>
      <c r="W90" s="34"/>
    </row>
    <row r="91" spans="13:23" x14ac:dyDescent="0.3">
      <c r="M91" s="33"/>
      <c r="N91" s="34"/>
      <c r="O91" s="53"/>
      <c r="Q91" s="34"/>
      <c r="R91" s="38" t="s">
        <v>38</v>
      </c>
      <c r="S91" s="41">
        <v>34.299999999999997</v>
      </c>
      <c r="V91" s="36"/>
      <c r="W91" s="34"/>
    </row>
    <row r="92" spans="13:23" x14ac:dyDescent="0.3">
      <c r="M92" s="33"/>
      <c r="N92" s="34"/>
      <c r="O92" s="53"/>
      <c r="Q92" s="34"/>
      <c r="R92" s="37" t="s">
        <v>51</v>
      </c>
      <c r="S92" s="39">
        <v>25.3</v>
      </c>
      <c r="V92" s="33"/>
      <c r="W92" s="34"/>
    </row>
    <row r="93" spans="13:23" x14ac:dyDescent="0.3">
      <c r="M93" s="35"/>
      <c r="N93" s="34"/>
      <c r="O93" s="53"/>
      <c r="Q93" s="34"/>
      <c r="R93" s="38" t="s">
        <v>42</v>
      </c>
      <c r="S93" s="43">
        <v>21</v>
      </c>
      <c r="V93" s="33"/>
      <c r="W93" s="34"/>
    </row>
    <row r="94" spans="13:23" x14ac:dyDescent="0.3">
      <c r="M94" s="50"/>
      <c r="N94" s="52"/>
      <c r="O94" s="53"/>
      <c r="Q94" s="34"/>
      <c r="R94" s="37" t="s">
        <v>16</v>
      </c>
      <c r="S94" s="39">
        <v>24.5</v>
      </c>
      <c r="V94" s="33"/>
      <c r="W94" s="34"/>
    </row>
    <row r="95" spans="13:23" x14ac:dyDescent="0.3">
      <c r="M95" s="49"/>
      <c r="N95" s="52"/>
      <c r="O95" s="53"/>
      <c r="Q95" s="34"/>
      <c r="R95" s="38" t="s">
        <v>33</v>
      </c>
      <c r="S95" s="43">
        <v>22</v>
      </c>
      <c r="V95" s="33"/>
      <c r="W95" s="34"/>
    </row>
    <row r="96" spans="13:23" x14ac:dyDescent="0.3">
      <c r="M96" s="49"/>
      <c r="N96" s="54"/>
      <c r="O96" s="53"/>
      <c r="Q96" s="34"/>
      <c r="R96" s="37" t="s">
        <v>23</v>
      </c>
      <c r="S96" s="44">
        <v>13.7</v>
      </c>
      <c r="V96" s="35"/>
      <c r="W96" s="34"/>
    </row>
    <row r="97" spans="13:23" x14ac:dyDescent="0.3">
      <c r="M97" s="29"/>
      <c r="N97" s="51"/>
      <c r="Q97" s="34"/>
      <c r="R97" s="38" t="s">
        <v>48</v>
      </c>
      <c r="S97" s="43">
        <v>20.2</v>
      </c>
      <c r="V97" s="33"/>
      <c r="W97" s="34"/>
    </row>
    <row r="98" spans="13:23" x14ac:dyDescent="0.3">
      <c r="Q98" s="34"/>
      <c r="R98" s="37" t="s">
        <v>38</v>
      </c>
      <c r="S98" s="39">
        <v>26.5</v>
      </c>
      <c r="V98" s="33"/>
      <c r="W98" s="34"/>
    </row>
    <row r="99" spans="13:23" x14ac:dyDescent="0.3">
      <c r="Q99" s="34"/>
      <c r="R99" s="38" t="s">
        <v>19</v>
      </c>
      <c r="S99" s="41">
        <v>31.2</v>
      </c>
      <c r="V99" s="36"/>
      <c r="W99" s="34"/>
    </row>
    <row r="100" spans="13:23" x14ac:dyDescent="0.3">
      <c r="Q100" s="34"/>
      <c r="R100" s="37" t="s">
        <v>51</v>
      </c>
      <c r="S100" s="39">
        <v>26.9</v>
      </c>
      <c r="V100" s="33"/>
      <c r="W100" s="34"/>
    </row>
    <row r="101" spans="13:23" x14ac:dyDescent="0.3">
      <c r="Q101" s="34"/>
      <c r="R101" s="38" t="s">
        <v>16</v>
      </c>
      <c r="S101" s="41">
        <v>32.6</v>
      </c>
      <c r="V101" s="33"/>
      <c r="W101" s="34"/>
    </row>
    <row r="102" spans="13:23" x14ac:dyDescent="0.3">
      <c r="Q102" s="34"/>
      <c r="R102" s="37" t="s">
        <v>29</v>
      </c>
      <c r="S102" s="42">
        <v>32.6</v>
      </c>
      <c r="V102" s="29"/>
      <c r="W102" s="28"/>
    </row>
    <row r="103" spans="13:23" x14ac:dyDescent="0.3">
      <c r="Q103" s="34"/>
      <c r="R103" s="38" t="s">
        <v>42</v>
      </c>
      <c r="S103" s="43">
        <v>29.3</v>
      </c>
    </row>
    <row r="104" spans="13:23" x14ac:dyDescent="0.3">
      <c r="Q104" s="34"/>
      <c r="R104" s="37" t="s">
        <v>26</v>
      </c>
      <c r="S104" s="39">
        <v>27</v>
      </c>
    </row>
    <row r="105" spans="13:23" x14ac:dyDescent="0.3">
      <c r="Q105" s="34"/>
      <c r="R105" s="38" t="s">
        <v>33</v>
      </c>
      <c r="S105" s="43">
        <v>25</v>
      </c>
    </row>
    <row r="106" spans="13:23" x14ac:dyDescent="0.3">
      <c r="Q106" s="34"/>
      <c r="R106" s="37" t="s">
        <v>23</v>
      </c>
      <c r="S106" s="39">
        <v>22.9</v>
      </c>
    </row>
    <row r="107" spans="13:23" x14ac:dyDescent="0.3">
      <c r="Q107" s="34"/>
      <c r="R107" s="38" t="s">
        <v>38</v>
      </c>
      <c r="S107" s="40">
        <v>18.2</v>
      </c>
    </row>
    <row r="108" spans="13:23" x14ac:dyDescent="0.3">
      <c r="Q108" s="34"/>
      <c r="R108" s="37" t="s">
        <v>51</v>
      </c>
      <c r="S108" s="39">
        <v>26.4</v>
      </c>
    </row>
    <row r="109" spans="13:23" x14ac:dyDescent="0.3">
      <c r="Q109" s="34"/>
      <c r="R109" s="38" t="s">
        <v>42</v>
      </c>
      <c r="S109" s="43">
        <v>28.3</v>
      </c>
    </row>
    <row r="110" spans="13:23" x14ac:dyDescent="0.3">
      <c r="Q110" s="34"/>
      <c r="R110" s="37" t="s">
        <v>33</v>
      </c>
      <c r="S110" s="42">
        <v>33.299999999999997</v>
      </c>
    </row>
    <row r="111" spans="13:23" x14ac:dyDescent="0.3">
      <c r="Q111" s="34"/>
      <c r="R111" s="38" t="s">
        <v>16</v>
      </c>
      <c r="S111" s="43">
        <v>25.7</v>
      </c>
    </row>
    <row r="112" spans="13:23" x14ac:dyDescent="0.3">
      <c r="Q112" s="34"/>
      <c r="R112" s="37" t="s">
        <v>48</v>
      </c>
      <c r="S112" s="39">
        <v>26.2</v>
      </c>
    </row>
    <row r="113" spans="17:19" x14ac:dyDescent="0.3">
      <c r="Q113" s="34"/>
      <c r="R113" s="47" t="s">
        <v>29</v>
      </c>
      <c r="S113" s="48">
        <v>19.2</v>
      </c>
    </row>
  </sheetData>
  <pageMargins left="0.7" right="0.7" top="0.75" bottom="0.75" header="0.3" footer="0.3"/>
  <drawing r:id="rId10"/>
  <tableParts count="1">
    <tablePart r:id="rId11"/>
  </tableParts>
  <extLst>
    <ext xmlns:x14="http://schemas.microsoft.com/office/spreadsheetml/2009/9/main" uri="{A8765BA9-456A-4dab-B4F3-ACF838C121DE}">
      <x14:slicerList>
        <x14:slicer r:id="rId1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880D8-4DDF-43D1-A377-3550F5D06EB7}">
  <dimension ref="AH33"/>
  <sheetViews>
    <sheetView topLeftCell="A9" zoomScale="50" zoomScaleNormal="50" workbookViewId="0">
      <selection activeCell="AG42" sqref="AG42"/>
    </sheetView>
  </sheetViews>
  <sheetFormatPr defaultRowHeight="14.4" x14ac:dyDescent="0.3"/>
  <sheetData>
    <row r="33" spans="34:34" ht="51.6" x14ac:dyDescent="0.3">
      <c r="AH33" s="5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026A5-DAA7-4A20-8C1D-DF946A602498}">
  <dimension ref="A1"/>
  <sheetViews>
    <sheetView topLeftCell="A11" zoomScale="50" zoomScaleNormal="50"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9167FF-1BD0-4C84-87D7-B1AF328B20C6}">
  <dimension ref="A1"/>
  <sheetViews>
    <sheetView topLeftCell="A10" zoomScale="50" zoomScaleNormal="50" workbookViewId="0">
      <selection activeCell="AF34" sqref="AF3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D14A7-2CFC-431C-BD66-9343AE4F6924}">
  <dimension ref="A1"/>
  <sheetViews>
    <sheetView topLeftCell="A8" zoomScale="50" zoomScaleNormal="50" workbookViewId="0">
      <selection activeCell="AB17" sqref="AB1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MAIN DATA</vt:lpstr>
      <vt:lpstr>DASH BAORD</vt:lpstr>
      <vt:lpstr>PIVOT TABLE</vt:lpstr>
      <vt:lpstr>TEMPERATURE</vt:lpstr>
      <vt:lpstr>HUMIDITY</vt:lpstr>
      <vt:lpstr>WEATHER</vt:lpstr>
      <vt:lpstr>RAINFALL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kandula usha</cp:lastModifiedBy>
  <cp:lastPrinted>2026-04-14T13:29:21Z</cp:lastPrinted>
  <dcterms:created xsi:type="dcterms:W3CDTF">2026-04-07T05:14:29Z</dcterms:created>
  <dcterms:modified xsi:type="dcterms:W3CDTF">2026-04-14T13:30:02Z</dcterms:modified>
</cp:coreProperties>
</file>